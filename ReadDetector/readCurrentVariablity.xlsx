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fnebraska-my.sharepoint.com/personal/37240443_nebraska_edu/Documents/UNK/Documents/selectron/ReadCircuits/"/>
    </mc:Choice>
  </mc:AlternateContent>
  <xr:revisionPtr revIDLastSave="117" documentId="8_{9E54854B-DAB4-A04F-AFC9-98576FE4CD5E}" xr6:coauthVersionLast="47" xr6:coauthVersionMax="47" xr10:uidLastSave="{C32898B8-E244-D341-83A0-8E16CBB489A0}"/>
  <bookViews>
    <workbookView xWindow="0" yWindow="600" windowWidth="25520" windowHeight="13860" xr2:uid="{DAB7AAE5-E0EA-344E-86B4-83CDD95474CB}"/>
  </bookViews>
  <sheets>
    <sheet name="Sheet1" sheetId="1" r:id="rId1"/>
  </sheets>
  <definedNames>
    <definedName name="_xlchart.v1.0" hidden="1">Sheet1!$L$3</definedName>
    <definedName name="_xlchart.v1.1" hidden="1">Sheet1!$L$11:$L$32</definedName>
    <definedName name="_xlchart.v1.2" hidden="1">Sheet1!$M$3</definedName>
    <definedName name="_xlchart.v1.3" hidden="1">Sheet1!$M$11:$M$32</definedName>
    <definedName name="_xlchart.v1.4" hidden="1">Sheet1!$L$3</definedName>
    <definedName name="_xlchart.v1.5" hidden="1">Sheet1!$L$4:$L$25</definedName>
    <definedName name="_xlchart.v1.6" hidden="1">Sheet1!$M$3</definedName>
    <definedName name="_xlchart.v1.7" hidden="1">Sheet1!$M$4:$M$25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1" i="1" l="1"/>
  <c r="B10" i="1"/>
  <c r="N35" i="1"/>
  <c r="N34" i="1"/>
  <c r="N33" i="1"/>
  <c r="N4" i="1"/>
  <c r="N5" i="1"/>
  <c r="N6" i="1"/>
  <c r="N7" i="1"/>
  <c r="N8" i="1"/>
  <c r="N9" i="1"/>
  <c r="N10" i="1"/>
  <c r="N11" i="1"/>
  <c r="M1" i="1"/>
  <c r="F2" i="1"/>
  <c r="F1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4" i="1"/>
  <c r="N12" i="1" l="1"/>
  <c r="N13" i="1"/>
  <c r="N14" i="1"/>
  <c r="N15" i="1"/>
  <c r="N16" i="1"/>
  <c r="N17" i="1"/>
  <c r="N18" i="1"/>
  <c r="N19" i="1"/>
  <c r="N20" i="1"/>
  <c r="N21" i="1"/>
  <c r="N23" i="1"/>
  <c r="N24" i="1"/>
  <c r="N25" i="1"/>
  <c r="N26" i="1"/>
  <c r="N27" i="1"/>
  <c r="N28" i="1"/>
  <c r="N29" i="1"/>
  <c r="N30" i="1"/>
  <c r="N31" i="1"/>
  <c r="N32" i="1"/>
  <c r="N22" i="1"/>
</calcChain>
</file>

<file path=xl/sharedStrings.xml><?xml version="1.0" encoding="utf-8"?>
<sst xmlns="http://schemas.openxmlformats.org/spreadsheetml/2006/main" count="10" uniqueCount="10">
  <si>
    <t>address</t>
  </si>
  <si>
    <t>Current (uA)</t>
  </si>
  <si>
    <t>Bin</t>
  </si>
  <si>
    <t>Frequency</t>
  </si>
  <si>
    <t>bins</t>
  </si>
  <si>
    <t>expected</t>
  </si>
  <si>
    <t>mean</t>
  </si>
  <si>
    <t>stdev</t>
  </si>
  <si>
    <t>total obs</t>
  </si>
  <si>
    <t>95% of the data falls within 2 standard deviations of the mean (μ ± 2σ).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</si>
</sst>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"/>
    </xf>
    <xf numFmtId="0" fontId="0" fillId="0" borderId="0" xfId="0" applyNumberFormat="1" applyFill="1" applyBorder="1" applyAlignment="1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Sheet1!$M$3</c:f>
              <c:strCache>
                <c:ptCount val="1"/>
                <c:pt idx="0">
                  <c:v>Frequency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Sheet1!$L$11:$L$35</c:f>
              <c:numCache>
                <c:formatCode>General</c:formatCode>
                <c:ptCount val="25"/>
                <c:pt idx="0">
                  <c:v>16</c:v>
                </c:pt>
                <c:pt idx="1">
                  <c:v>17</c:v>
                </c:pt>
                <c:pt idx="2">
                  <c:v>18</c:v>
                </c:pt>
                <c:pt idx="3">
                  <c:v>19</c:v>
                </c:pt>
                <c:pt idx="4">
                  <c:v>20</c:v>
                </c:pt>
                <c:pt idx="5">
                  <c:v>21</c:v>
                </c:pt>
                <c:pt idx="6">
                  <c:v>22</c:v>
                </c:pt>
                <c:pt idx="7">
                  <c:v>23</c:v>
                </c:pt>
                <c:pt idx="8">
                  <c:v>24</c:v>
                </c:pt>
                <c:pt idx="9">
                  <c:v>25</c:v>
                </c:pt>
                <c:pt idx="10">
                  <c:v>26</c:v>
                </c:pt>
                <c:pt idx="11">
                  <c:v>27</c:v>
                </c:pt>
                <c:pt idx="12">
                  <c:v>28</c:v>
                </c:pt>
                <c:pt idx="13">
                  <c:v>29</c:v>
                </c:pt>
                <c:pt idx="14">
                  <c:v>30</c:v>
                </c:pt>
                <c:pt idx="15">
                  <c:v>31</c:v>
                </c:pt>
                <c:pt idx="16">
                  <c:v>32</c:v>
                </c:pt>
                <c:pt idx="17">
                  <c:v>33</c:v>
                </c:pt>
                <c:pt idx="18">
                  <c:v>34</c:v>
                </c:pt>
                <c:pt idx="19">
                  <c:v>35</c:v>
                </c:pt>
                <c:pt idx="20">
                  <c:v>36</c:v>
                </c:pt>
                <c:pt idx="21">
                  <c:v>37</c:v>
                </c:pt>
                <c:pt idx="22">
                  <c:v>38</c:v>
                </c:pt>
                <c:pt idx="23">
                  <c:v>39</c:v>
                </c:pt>
                <c:pt idx="24">
                  <c:v>40</c:v>
                </c:pt>
              </c:numCache>
            </c:numRef>
          </c:xVal>
          <c:yVal>
            <c:numRef>
              <c:f>Sheet1!$M$11:$M$35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3</c:v>
                </c:pt>
                <c:pt idx="11">
                  <c:v>1</c:v>
                </c:pt>
                <c:pt idx="12">
                  <c:v>3</c:v>
                </c:pt>
                <c:pt idx="13">
                  <c:v>0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</c:v>
                </c:pt>
                <c:pt idx="2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642-A94F-8C3D-55C3CA83237C}"/>
            </c:ext>
          </c:extLst>
        </c:ser>
        <c:ser>
          <c:idx val="1"/>
          <c:order val="1"/>
          <c:tx>
            <c:strRef>
              <c:f>Sheet1!$N$3</c:f>
              <c:strCache>
                <c:ptCount val="1"/>
                <c:pt idx="0">
                  <c:v>expected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Sheet1!$L$4:$L$35</c:f>
              <c:numCache>
                <c:formatCode>General</c:formatCode>
                <c:ptCount val="32"/>
                <c:pt idx="0">
                  <c:v>9</c:v>
                </c:pt>
                <c:pt idx="1">
                  <c:v>10</c:v>
                </c:pt>
                <c:pt idx="2">
                  <c:v>11</c:v>
                </c:pt>
                <c:pt idx="3">
                  <c:v>12</c:v>
                </c:pt>
                <c:pt idx="4">
                  <c:v>13</c:v>
                </c:pt>
                <c:pt idx="5">
                  <c:v>14</c:v>
                </c:pt>
                <c:pt idx="6">
                  <c:v>15</c:v>
                </c:pt>
                <c:pt idx="7">
                  <c:v>16</c:v>
                </c:pt>
                <c:pt idx="8">
                  <c:v>17</c:v>
                </c:pt>
                <c:pt idx="9">
                  <c:v>18</c:v>
                </c:pt>
                <c:pt idx="10">
                  <c:v>19</c:v>
                </c:pt>
                <c:pt idx="11">
                  <c:v>20</c:v>
                </c:pt>
                <c:pt idx="12">
                  <c:v>21</c:v>
                </c:pt>
                <c:pt idx="13">
                  <c:v>22</c:v>
                </c:pt>
                <c:pt idx="14">
                  <c:v>23</c:v>
                </c:pt>
                <c:pt idx="15">
                  <c:v>24</c:v>
                </c:pt>
                <c:pt idx="16">
                  <c:v>25</c:v>
                </c:pt>
                <c:pt idx="17">
                  <c:v>26</c:v>
                </c:pt>
                <c:pt idx="18">
                  <c:v>27</c:v>
                </c:pt>
                <c:pt idx="19">
                  <c:v>28</c:v>
                </c:pt>
                <c:pt idx="20">
                  <c:v>29</c:v>
                </c:pt>
                <c:pt idx="21">
                  <c:v>30</c:v>
                </c:pt>
                <c:pt idx="22">
                  <c:v>31</c:v>
                </c:pt>
                <c:pt idx="23">
                  <c:v>32</c:v>
                </c:pt>
                <c:pt idx="24">
                  <c:v>33</c:v>
                </c:pt>
                <c:pt idx="25">
                  <c:v>34</c:v>
                </c:pt>
                <c:pt idx="26">
                  <c:v>35</c:v>
                </c:pt>
                <c:pt idx="27">
                  <c:v>36</c:v>
                </c:pt>
                <c:pt idx="28">
                  <c:v>37</c:v>
                </c:pt>
                <c:pt idx="29">
                  <c:v>38</c:v>
                </c:pt>
                <c:pt idx="30">
                  <c:v>39</c:v>
                </c:pt>
                <c:pt idx="31">
                  <c:v>40</c:v>
                </c:pt>
              </c:numCache>
            </c:numRef>
          </c:xVal>
          <c:yVal>
            <c:numRef>
              <c:f>Sheet1!$N$4:$N$35</c:f>
              <c:numCache>
                <c:formatCode>General</c:formatCode>
                <c:ptCount val="32"/>
                <c:pt idx="0">
                  <c:v>1.7284760519716683E-2</c:v>
                </c:pt>
                <c:pt idx="1">
                  <c:v>3.0207804389618578E-2</c:v>
                </c:pt>
                <c:pt idx="2">
                  <c:v>5.0909039832034007E-2</c:v>
                </c:pt>
                <c:pt idx="3">
                  <c:v>8.2735253909587747E-2</c:v>
                </c:pt>
                <c:pt idx="4">
                  <c:v>0.12966007073218799</c:v>
                </c:pt>
                <c:pt idx="5">
                  <c:v>0.19594846084217382</c:v>
                </c:pt>
                <c:pt idx="6">
                  <c:v>0.28556002477181858</c:v>
                </c:pt>
                <c:pt idx="7">
                  <c:v>0.40130347240247227</c:v>
                </c:pt>
                <c:pt idx="8">
                  <c:v>0.54383653032762647</c:v>
                </c:pt>
                <c:pt idx="9">
                  <c:v>0.71069586311314681</c:v>
                </c:pt>
                <c:pt idx="10">
                  <c:v>0.89561044663089018</c:v>
                </c:pt>
                <c:pt idx="11">
                  <c:v>1.0883647465955257</c:v>
                </c:pt>
                <c:pt idx="12">
                  <c:v>1.2754097526657635</c:v>
                </c:pt>
                <c:pt idx="13">
                  <c:v>1.4412686938185575</c:v>
                </c:pt>
                <c:pt idx="14">
                  <c:v>1.5705802257887367</c:v>
                </c:pt>
                <c:pt idx="15">
                  <c:v>1.6504229317615808</c:v>
                </c:pt>
                <c:pt idx="16">
                  <c:v>1.6724391507772551</c:v>
                </c:pt>
                <c:pt idx="17">
                  <c:v>1.6342758157756221</c:v>
                </c:pt>
                <c:pt idx="18">
                  <c:v>1.5399986305193865</c:v>
                </c:pt>
                <c:pt idx="19">
                  <c:v>1.399378726478411</c:v>
                </c:pt>
                <c:pt idx="20">
                  <c:v>1.2262249611174785</c:v>
                </c:pt>
                <c:pt idx="21">
                  <c:v>1.0361556263442275</c:v>
                </c:pt>
                <c:pt idx="22">
                  <c:v>0.84430581207568089</c:v>
                </c:pt>
                <c:pt idx="23">
                  <c:v>0.66342910511825337</c:v>
                </c:pt>
                <c:pt idx="24">
                  <c:v>0.50270038068413536</c:v>
                </c:pt>
                <c:pt idx="25">
                  <c:v>0.36731939470301672</c:v>
                </c:pt>
                <c:pt idx="26">
                  <c:v>0.25882037256893359</c:v>
                </c:pt>
                <c:pt idx="27">
                  <c:v>0.17586240508918063</c:v>
                </c:pt>
                <c:pt idx="28">
                  <c:v>0.11523051706604606</c:v>
                </c:pt>
                <c:pt idx="29">
                  <c:v>7.2808480124099059E-2</c:v>
                </c:pt>
                <c:pt idx="30">
                  <c:v>4.4362536739224127E-2</c:v>
                </c:pt>
                <c:pt idx="31">
                  <c:v>2.606578033322424E-2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642-A94F-8C3D-55C3CA8323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7271487"/>
        <c:axId val="1397275519"/>
      </c:scatterChart>
      <c:valAx>
        <c:axId val="13972714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7275519"/>
        <c:crosses val="autoZero"/>
        <c:crossBetween val="midCat"/>
      </c:valAx>
      <c:valAx>
        <c:axId val="1397275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72714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213360</xdr:colOff>
      <xdr:row>2</xdr:row>
      <xdr:rowOff>172720</xdr:rowOff>
    </xdr:from>
    <xdr:to>
      <xdr:col>12</xdr:col>
      <xdr:colOff>670560</xdr:colOff>
      <xdr:row>16</xdr:row>
      <xdr:rowOff>71120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B376FFF-130A-2FC6-C75C-FA0E9B0CAC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DDB66-6044-C84E-8D1D-045841B0A546}">
  <dimension ref="A1:N37"/>
  <sheetViews>
    <sheetView tabSelected="1" zoomScale="125" workbookViewId="0">
      <selection activeCell="G5" sqref="G5"/>
    </sheetView>
  </sheetViews>
  <sheetFormatPr baseColWidth="10" defaultRowHeight="16" x14ac:dyDescent="0.2"/>
  <cols>
    <col min="14" max="14" width="12.6640625" bestFit="1" customWidth="1"/>
  </cols>
  <sheetData>
    <row r="1" spans="1:14" x14ac:dyDescent="0.2">
      <c r="A1" s="5" t="s">
        <v>9</v>
      </c>
      <c r="B1" s="5"/>
      <c r="C1" s="5"/>
      <c r="F1">
        <f>AVERAGE(F4:F37)</f>
        <v>24.864705882352936</v>
      </c>
      <c r="G1" t="s">
        <v>6</v>
      </c>
      <c r="L1" t="s">
        <v>8</v>
      </c>
      <c r="M1">
        <f>COUNT(M11:M32)</f>
        <v>22</v>
      </c>
    </row>
    <row r="2" spans="1:14" ht="17" thickBot="1" x14ac:dyDescent="0.25">
      <c r="A2" s="5"/>
      <c r="B2" s="5"/>
      <c r="C2" s="5"/>
      <c r="F2">
        <f>STDEV(F4:F37)</f>
        <v>5.2461173147929836</v>
      </c>
      <c r="G2" t="s">
        <v>7</v>
      </c>
    </row>
    <row r="3" spans="1:14" x14ac:dyDescent="0.2">
      <c r="A3" s="5"/>
      <c r="B3" s="5"/>
      <c r="C3" s="5"/>
      <c r="D3" t="s">
        <v>0</v>
      </c>
      <c r="F3" t="s">
        <v>1</v>
      </c>
      <c r="I3" t="s">
        <v>4</v>
      </c>
      <c r="L3" s="3" t="s">
        <v>2</v>
      </c>
      <c r="M3" s="3" t="s">
        <v>3</v>
      </c>
      <c r="N3" t="s">
        <v>5</v>
      </c>
    </row>
    <row r="4" spans="1:14" x14ac:dyDescent="0.2">
      <c r="A4" s="5"/>
      <c r="B4" s="5"/>
      <c r="C4" s="5"/>
      <c r="D4">
        <v>0</v>
      </c>
      <c r="E4">
        <v>2.56</v>
      </c>
      <c r="F4">
        <f>E4*10</f>
        <v>25.6</v>
      </c>
      <c r="I4">
        <v>16</v>
      </c>
      <c r="L4" s="4">
        <v>9</v>
      </c>
      <c r="N4">
        <f t="shared" ref="N4:N11" si="0">$M$1*1/($F$2*SQRT(2*PI()))*EXP(-0.5*((L4-$F$1)/$F$2)^2)</f>
        <v>1.7284760519716683E-2</v>
      </c>
    </row>
    <row r="5" spans="1:14" x14ac:dyDescent="0.2">
      <c r="A5" s="5"/>
      <c r="B5" s="5"/>
      <c r="C5" s="5"/>
      <c r="D5">
        <v>1</v>
      </c>
      <c r="E5">
        <v>2.3199999999999998</v>
      </c>
      <c r="F5">
        <f t="shared" ref="F5:F37" si="1">E5*10</f>
        <v>23.2</v>
      </c>
      <c r="I5">
        <v>17</v>
      </c>
      <c r="L5" s="4">
        <v>10</v>
      </c>
      <c r="N5">
        <f t="shared" si="0"/>
        <v>3.0207804389618578E-2</v>
      </c>
    </row>
    <row r="6" spans="1:14" x14ac:dyDescent="0.2">
      <c r="A6" s="5"/>
      <c r="B6" s="5"/>
      <c r="C6" s="5"/>
      <c r="D6">
        <v>2</v>
      </c>
      <c r="E6">
        <v>2.2799999999999998</v>
      </c>
      <c r="F6">
        <f t="shared" si="1"/>
        <v>22.799999999999997</v>
      </c>
      <c r="I6">
        <v>18</v>
      </c>
      <c r="L6" s="4">
        <v>11</v>
      </c>
      <c r="N6">
        <f t="shared" si="0"/>
        <v>5.0909039832034007E-2</v>
      </c>
    </row>
    <row r="7" spans="1:14" x14ac:dyDescent="0.2">
      <c r="A7" s="5"/>
      <c r="B7" s="5"/>
      <c r="C7" s="5"/>
      <c r="D7">
        <v>3</v>
      </c>
      <c r="E7">
        <v>3.04</v>
      </c>
      <c r="F7">
        <f t="shared" si="1"/>
        <v>30.4</v>
      </c>
      <c r="I7">
        <v>19</v>
      </c>
      <c r="L7" s="4">
        <v>12</v>
      </c>
      <c r="N7">
        <f t="shared" si="0"/>
        <v>8.2735253909587747E-2</v>
      </c>
    </row>
    <row r="8" spans="1:14" x14ac:dyDescent="0.2">
      <c r="D8">
        <v>4</v>
      </c>
      <c r="E8">
        <v>2.76</v>
      </c>
      <c r="F8">
        <f t="shared" si="1"/>
        <v>27.599999999999998</v>
      </c>
      <c r="I8">
        <v>20</v>
      </c>
      <c r="L8" s="4">
        <v>13</v>
      </c>
      <c r="N8">
        <f t="shared" si="0"/>
        <v>0.12966007073218799</v>
      </c>
    </row>
    <row r="9" spans="1:14" x14ac:dyDescent="0.2">
      <c r="D9">
        <v>5</v>
      </c>
      <c r="E9">
        <v>2.4</v>
      </c>
      <c r="F9">
        <f t="shared" si="1"/>
        <v>24</v>
      </c>
      <c r="I9">
        <v>21</v>
      </c>
      <c r="L9" s="4">
        <v>14</v>
      </c>
      <c r="N9">
        <f t="shared" si="0"/>
        <v>0.19594846084217382</v>
      </c>
    </row>
    <row r="10" spans="1:14" x14ac:dyDescent="0.2">
      <c r="B10">
        <f>F1+2*F2</f>
        <v>35.356940511938902</v>
      </c>
      <c r="D10">
        <v>6</v>
      </c>
      <c r="E10">
        <v>2.44</v>
      </c>
      <c r="F10">
        <f t="shared" si="1"/>
        <v>24.4</v>
      </c>
      <c r="I10">
        <v>22</v>
      </c>
      <c r="L10" s="4">
        <v>15</v>
      </c>
      <c r="N10">
        <f t="shared" si="0"/>
        <v>0.28556002477181858</v>
      </c>
    </row>
    <row r="11" spans="1:14" x14ac:dyDescent="0.2">
      <c r="B11">
        <f>F1-2*F2</f>
        <v>14.372471252766969</v>
      </c>
      <c r="D11">
        <v>7</v>
      </c>
      <c r="E11">
        <v>3.12</v>
      </c>
      <c r="F11">
        <f t="shared" si="1"/>
        <v>31.200000000000003</v>
      </c>
      <c r="I11">
        <v>23</v>
      </c>
      <c r="L11" s="4">
        <v>16</v>
      </c>
      <c r="M11" s="1">
        <v>0</v>
      </c>
      <c r="N11">
        <f t="shared" si="0"/>
        <v>0.40130347240247227</v>
      </c>
    </row>
    <row r="12" spans="1:14" x14ac:dyDescent="0.2">
      <c r="D12">
        <v>8</v>
      </c>
      <c r="E12">
        <v>3.16</v>
      </c>
      <c r="F12">
        <f t="shared" si="1"/>
        <v>31.6</v>
      </c>
      <c r="I12">
        <v>24</v>
      </c>
      <c r="L12" s="4">
        <v>17</v>
      </c>
      <c r="M12" s="1">
        <v>1</v>
      </c>
      <c r="N12">
        <f t="shared" ref="N12:N35" si="2">$M$1*1/($F$2*SQRT(2*PI()))*EXP(-0.5*((L12-$F$1)/$F$2)^2)</f>
        <v>0.54383653032762647</v>
      </c>
    </row>
    <row r="13" spans="1:14" x14ac:dyDescent="0.2">
      <c r="D13">
        <v>9</v>
      </c>
      <c r="E13">
        <v>2.6</v>
      </c>
      <c r="F13">
        <f t="shared" si="1"/>
        <v>26</v>
      </c>
      <c r="I13">
        <v>25</v>
      </c>
      <c r="L13" s="4">
        <v>18</v>
      </c>
      <c r="M13" s="1">
        <v>2</v>
      </c>
      <c r="N13">
        <f t="shared" si="2"/>
        <v>0.71069586311314681</v>
      </c>
    </row>
    <row r="14" spans="1:14" x14ac:dyDescent="0.2">
      <c r="D14">
        <v>10</v>
      </c>
      <c r="E14">
        <v>2.6</v>
      </c>
      <c r="F14">
        <f t="shared" si="1"/>
        <v>26</v>
      </c>
      <c r="I14">
        <v>26</v>
      </c>
      <c r="L14" s="4">
        <v>19</v>
      </c>
      <c r="M14" s="1">
        <v>4</v>
      </c>
      <c r="N14">
        <f t="shared" si="2"/>
        <v>0.89561044663089018</v>
      </c>
    </row>
    <row r="15" spans="1:14" x14ac:dyDescent="0.2">
      <c r="D15">
        <v>11</v>
      </c>
      <c r="E15">
        <v>2.92</v>
      </c>
      <c r="F15">
        <f t="shared" si="1"/>
        <v>29.2</v>
      </c>
      <c r="I15">
        <v>27</v>
      </c>
      <c r="L15" s="4">
        <v>20</v>
      </c>
      <c r="M15" s="1">
        <v>1</v>
      </c>
      <c r="N15">
        <f t="shared" si="2"/>
        <v>1.0883647465955257</v>
      </c>
    </row>
    <row r="16" spans="1:14" x14ac:dyDescent="0.2">
      <c r="D16">
        <v>12</v>
      </c>
      <c r="E16">
        <v>2.2000000000000002</v>
      </c>
      <c r="F16">
        <f t="shared" si="1"/>
        <v>22</v>
      </c>
      <c r="I16">
        <v>28</v>
      </c>
      <c r="L16" s="4">
        <v>21</v>
      </c>
      <c r="M16" s="1">
        <v>1</v>
      </c>
      <c r="N16">
        <f t="shared" si="2"/>
        <v>1.2754097526657635</v>
      </c>
    </row>
    <row r="17" spans="4:14" x14ac:dyDescent="0.2">
      <c r="D17">
        <v>13</v>
      </c>
      <c r="E17">
        <v>1.84</v>
      </c>
      <c r="F17">
        <f t="shared" si="1"/>
        <v>18.400000000000002</v>
      </c>
      <c r="I17">
        <v>29</v>
      </c>
      <c r="L17" s="4">
        <v>22</v>
      </c>
      <c r="M17" s="1">
        <v>1</v>
      </c>
      <c r="N17">
        <f t="shared" si="2"/>
        <v>1.4412686938185575</v>
      </c>
    </row>
    <row r="18" spans="4:14" x14ac:dyDescent="0.2">
      <c r="D18">
        <v>14</v>
      </c>
      <c r="E18">
        <v>1.76</v>
      </c>
      <c r="F18">
        <f t="shared" si="1"/>
        <v>17.600000000000001</v>
      </c>
      <c r="I18">
        <v>30</v>
      </c>
      <c r="L18" s="4">
        <v>23</v>
      </c>
      <c r="M18" s="1">
        <v>2</v>
      </c>
      <c r="N18">
        <f t="shared" si="2"/>
        <v>1.5705802257887367</v>
      </c>
    </row>
    <row r="19" spans="4:14" x14ac:dyDescent="0.2">
      <c r="D19">
        <v>15</v>
      </c>
      <c r="E19">
        <v>1.88</v>
      </c>
      <c r="F19">
        <f t="shared" si="1"/>
        <v>18.799999999999997</v>
      </c>
      <c r="I19">
        <v>31</v>
      </c>
      <c r="L19" s="4">
        <v>24</v>
      </c>
      <c r="M19" s="1">
        <v>3</v>
      </c>
      <c r="N19">
        <f t="shared" si="2"/>
        <v>1.6504229317615808</v>
      </c>
    </row>
    <row r="20" spans="4:14" x14ac:dyDescent="0.2">
      <c r="D20">
        <v>16</v>
      </c>
      <c r="E20">
        <v>2.8</v>
      </c>
      <c r="F20">
        <f t="shared" si="1"/>
        <v>28</v>
      </c>
      <c r="I20">
        <v>32</v>
      </c>
      <c r="L20" s="4">
        <v>25</v>
      </c>
      <c r="M20" s="1">
        <v>4</v>
      </c>
      <c r="N20">
        <f t="shared" si="2"/>
        <v>1.6724391507772551</v>
      </c>
    </row>
    <row r="21" spans="4:14" x14ac:dyDescent="0.2">
      <c r="D21">
        <v>17</v>
      </c>
      <c r="E21">
        <v>2.44</v>
      </c>
      <c r="F21">
        <f t="shared" si="1"/>
        <v>24.4</v>
      </c>
      <c r="I21">
        <v>33</v>
      </c>
      <c r="L21" s="4">
        <v>26</v>
      </c>
      <c r="M21" s="1">
        <v>3</v>
      </c>
      <c r="N21">
        <f t="shared" si="2"/>
        <v>1.6342758157756221</v>
      </c>
    </row>
    <row r="22" spans="4:14" x14ac:dyDescent="0.2">
      <c r="D22">
        <v>18</v>
      </c>
      <c r="E22">
        <v>2.08</v>
      </c>
      <c r="F22">
        <f t="shared" si="1"/>
        <v>20.8</v>
      </c>
      <c r="I22">
        <v>34</v>
      </c>
      <c r="L22" s="4">
        <v>27</v>
      </c>
      <c r="M22" s="1">
        <v>1</v>
      </c>
      <c r="N22">
        <f t="shared" si="2"/>
        <v>1.5399986305193865</v>
      </c>
    </row>
    <row r="23" spans="4:14" x14ac:dyDescent="0.2">
      <c r="D23">
        <v>19</v>
      </c>
      <c r="E23">
        <v>3.32</v>
      </c>
      <c r="F23">
        <f t="shared" si="1"/>
        <v>33.199999999999996</v>
      </c>
      <c r="I23">
        <v>35</v>
      </c>
      <c r="L23" s="4">
        <v>28</v>
      </c>
      <c r="M23" s="1">
        <v>3</v>
      </c>
      <c r="N23">
        <f t="shared" si="2"/>
        <v>1.399378726478411</v>
      </c>
    </row>
    <row r="24" spans="4:14" x14ac:dyDescent="0.2">
      <c r="D24">
        <v>20</v>
      </c>
      <c r="E24">
        <v>3.04</v>
      </c>
      <c r="F24">
        <f t="shared" si="1"/>
        <v>30.4</v>
      </c>
      <c r="I24">
        <v>36</v>
      </c>
      <c r="L24" s="4">
        <v>29</v>
      </c>
      <c r="M24" s="1">
        <v>0</v>
      </c>
      <c r="N24">
        <f t="shared" si="2"/>
        <v>1.2262249611174785</v>
      </c>
    </row>
    <row r="25" spans="4:14" x14ac:dyDescent="0.2">
      <c r="D25">
        <v>21</v>
      </c>
      <c r="E25">
        <v>2.2400000000000002</v>
      </c>
      <c r="F25">
        <f t="shared" si="1"/>
        <v>22.400000000000002</v>
      </c>
      <c r="I25">
        <v>37</v>
      </c>
      <c r="L25" s="4">
        <v>30</v>
      </c>
      <c r="M25" s="1">
        <v>2</v>
      </c>
      <c r="N25">
        <f t="shared" si="2"/>
        <v>1.0361556263442275</v>
      </c>
    </row>
    <row r="26" spans="4:14" x14ac:dyDescent="0.2">
      <c r="D26">
        <v>22</v>
      </c>
      <c r="E26">
        <v>2.44</v>
      </c>
      <c r="F26">
        <f t="shared" si="1"/>
        <v>24.4</v>
      </c>
      <c r="L26" s="4">
        <v>31</v>
      </c>
      <c r="M26" s="1">
        <v>2</v>
      </c>
      <c r="N26">
        <f t="shared" si="2"/>
        <v>0.84430581207568089</v>
      </c>
    </row>
    <row r="27" spans="4:14" x14ac:dyDescent="0.2">
      <c r="D27">
        <v>23</v>
      </c>
      <c r="E27">
        <v>3.96</v>
      </c>
      <c r="F27">
        <f t="shared" si="1"/>
        <v>39.6</v>
      </c>
      <c r="L27" s="4">
        <v>32</v>
      </c>
      <c r="M27" s="1">
        <v>2</v>
      </c>
      <c r="N27">
        <f t="shared" si="2"/>
        <v>0.66342910511825337</v>
      </c>
    </row>
    <row r="28" spans="4:14" x14ac:dyDescent="0.2">
      <c r="D28">
        <v>24</v>
      </c>
      <c r="E28">
        <v>2.68</v>
      </c>
      <c r="F28">
        <f t="shared" si="1"/>
        <v>26.8</v>
      </c>
      <c r="L28" s="4">
        <v>33</v>
      </c>
      <c r="M28" s="1">
        <v>0</v>
      </c>
      <c r="N28">
        <f t="shared" si="2"/>
        <v>0.50270038068413536</v>
      </c>
    </row>
    <row r="29" spans="4:14" x14ac:dyDescent="0.2">
      <c r="D29">
        <v>25</v>
      </c>
      <c r="E29">
        <v>1.88</v>
      </c>
      <c r="F29">
        <f t="shared" si="1"/>
        <v>18.799999999999997</v>
      </c>
      <c r="L29" s="4">
        <v>34</v>
      </c>
      <c r="M29" s="1">
        <v>1</v>
      </c>
      <c r="N29">
        <f t="shared" si="2"/>
        <v>0.36731939470301672</v>
      </c>
    </row>
    <row r="30" spans="4:14" x14ac:dyDescent="0.2">
      <c r="D30">
        <v>26</v>
      </c>
      <c r="E30">
        <v>1.96</v>
      </c>
      <c r="F30">
        <f t="shared" si="1"/>
        <v>19.600000000000001</v>
      </c>
      <c r="L30" s="4">
        <v>35</v>
      </c>
      <c r="M30" s="1">
        <v>0</v>
      </c>
      <c r="N30">
        <f t="shared" si="2"/>
        <v>0.25882037256893359</v>
      </c>
    </row>
    <row r="31" spans="4:14" x14ac:dyDescent="0.2">
      <c r="D31">
        <v>27</v>
      </c>
      <c r="E31">
        <v>3</v>
      </c>
      <c r="F31">
        <f t="shared" si="1"/>
        <v>30</v>
      </c>
      <c r="L31" s="4">
        <v>36</v>
      </c>
      <c r="M31" s="1">
        <v>0</v>
      </c>
      <c r="N31">
        <f t="shared" si="2"/>
        <v>0.17586240508918063</v>
      </c>
    </row>
    <row r="32" spans="4:14" x14ac:dyDescent="0.2">
      <c r="D32">
        <v>28</v>
      </c>
      <c r="E32">
        <v>2.72</v>
      </c>
      <c r="F32">
        <f t="shared" si="1"/>
        <v>27.200000000000003</v>
      </c>
      <c r="L32" s="4">
        <v>37</v>
      </c>
      <c r="M32" s="1">
        <v>0</v>
      </c>
      <c r="N32">
        <f t="shared" si="2"/>
        <v>0.11523051706604606</v>
      </c>
    </row>
    <row r="33" spans="4:14" ht="17" thickBot="1" x14ac:dyDescent="0.25">
      <c r="D33">
        <v>29</v>
      </c>
      <c r="E33">
        <v>1.62</v>
      </c>
      <c r="F33">
        <f t="shared" si="1"/>
        <v>16.200000000000003</v>
      </c>
      <c r="L33" s="2">
        <v>38</v>
      </c>
      <c r="M33" s="2">
        <v>0</v>
      </c>
      <c r="N33">
        <f t="shared" si="2"/>
        <v>7.2808480124099059E-2</v>
      </c>
    </row>
    <row r="34" spans="4:14" x14ac:dyDescent="0.2">
      <c r="D34">
        <v>30</v>
      </c>
      <c r="E34">
        <v>1.8</v>
      </c>
      <c r="F34">
        <f t="shared" si="1"/>
        <v>18</v>
      </c>
      <c r="L34" s="1">
        <v>39</v>
      </c>
      <c r="M34" s="1">
        <v>1</v>
      </c>
      <c r="N34">
        <f t="shared" si="2"/>
        <v>4.4362536739224127E-2</v>
      </c>
    </row>
    <row r="35" spans="4:14" x14ac:dyDescent="0.2">
      <c r="D35">
        <v>31</v>
      </c>
      <c r="E35">
        <v>2.44</v>
      </c>
      <c r="F35">
        <f t="shared" si="1"/>
        <v>24.4</v>
      </c>
      <c r="L35" s="1">
        <v>40</v>
      </c>
      <c r="M35" s="1">
        <v>0</v>
      </c>
      <c r="N35">
        <f t="shared" si="2"/>
        <v>2.606578033322424E-2</v>
      </c>
    </row>
    <row r="36" spans="4:14" x14ac:dyDescent="0.2">
      <c r="D36">
        <v>32</v>
      </c>
      <c r="E36">
        <v>1.84</v>
      </c>
      <c r="F36">
        <f t="shared" si="1"/>
        <v>18.400000000000002</v>
      </c>
    </row>
    <row r="37" spans="4:14" x14ac:dyDescent="0.2">
      <c r="D37">
        <v>33</v>
      </c>
      <c r="E37">
        <v>2.4</v>
      </c>
      <c r="F37">
        <f t="shared" si="1"/>
        <v>24</v>
      </c>
    </row>
  </sheetData>
  <sortState xmlns:xlrd2="http://schemas.microsoft.com/office/spreadsheetml/2017/richdata2" ref="L11:L32">
    <sortCondition ref="L11"/>
  </sortState>
  <mergeCells count="1">
    <mergeCell ref="A1:C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Trantham</dc:creator>
  <cp:lastModifiedBy>Kenneth Trantham</cp:lastModifiedBy>
  <dcterms:created xsi:type="dcterms:W3CDTF">2026-06-27T16:29:16Z</dcterms:created>
  <dcterms:modified xsi:type="dcterms:W3CDTF">2026-06-27T16:53:43Z</dcterms:modified>
</cp:coreProperties>
</file>