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37240443_nebraska_edu/Documents/UNK/Documents/selectron/ReadCircuits/"/>
    </mc:Choice>
  </mc:AlternateContent>
  <xr:revisionPtr revIDLastSave="167" documentId="8_{14FE8050-5AAB-9241-9DD8-98F6BE387153}" xr6:coauthVersionLast="47" xr6:coauthVersionMax="47" xr10:uidLastSave="{51A5CC2B-C6A4-3E4B-B509-7395CDCFCC0A}"/>
  <bookViews>
    <workbookView xWindow="8340" yWindow="2840" windowWidth="20800" windowHeight="15200" xr2:uid="{4FBBAE38-2B36-044B-A42A-8F87957EC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4" i="1" l="1"/>
  <c r="F1" i="1"/>
  <c r="V2" i="1"/>
  <c r="H1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7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7" i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" i="1"/>
  <c r="M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7" i="1"/>
  <c r="F2" i="1" l="1"/>
  <c r="W8" i="1" l="1"/>
  <c r="W9" i="1"/>
  <c r="W10" i="1"/>
  <c r="W11" i="1"/>
  <c r="W12" i="1"/>
  <c r="W13" i="1"/>
  <c r="W14" i="1"/>
  <c r="W15" i="1"/>
  <c r="W16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R34" i="1"/>
  <c r="R15" i="1"/>
  <c r="R42" i="1"/>
  <c r="R44" i="1"/>
  <c r="R47" i="1"/>
  <c r="R7" i="1"/>
  <c r="R40" i="1"/>
  <c r="R32" i="1"/>
  <c r="R27" i="1"/>
  <c r="R20" i="1"/>
  <c r="R10" i="1"/>
  <c r="R45" i="1"/>
  <c r="R43" i="1"/>
  <c r="R41" i="1"/>
  <c r="R13" i="1"/>
  <c r="R12" i="1"/>
  <c r="R8" i="1"/>
  <c r="R39" i="1"/>
  <c r="R37" i="1"/>
  <c r="R35" i="1"/>
  <c r="R33" i="1"/>
  <c r="R31" i="1"/>
  <c r="R29" i="1"/>
  <c r="R28" i="1"/>
  <c r="R26" i="1"/>
  <c r="R24" i="1"/>
  <c r="R22" i="1"/>
  <c r="R18" i="1"/>
  <c r="R16" i="1"/>
  <c r="R14" i="1"/>
  <c r="R11" i="1"/>
  <c r="R9" i="1"/>
  <c r="R46" i="1"/>
  <c r="R36" i="1"/>
  <c r="R30" i="1"/>
  <c r="R25" i="1"/>
  <c r="R23" i="1"/>
  <c r="R21" i="1"/>
  <c r="R19" i="1"/>
  <c r="R17" i="1"/>
  <c r="R38" i="1"/>
</calcChain>
</file>

<file path=xl/sharedStrings.xml><?xml version="1.0" encoding="utf-8"?>
<sst xmlns="http://schemas.openxmlformats.org/spreadsheetml/2006/main" count="14" uniqueCount="14">
  <si>
    <t>address</t>
  </si>
  <si>
    <t>value hi</t>
  </si>
  <si>
    <t>value low</t>
  </si>
  <si>
    <t>volts hi</t>
  </si>
  <si>
    <t>volts low</t>
  </si>
  <si>
    <t>current hi (uA)</t>
  </si>
  <si>
    <t>avg</t>
  </si>
  <si>
    <t>stdev</t>
  </si>
  <si>
    <t>num σ</t>
  </si>
  <si>
    <t>Current bins</t>
  </si>
  <si>
    <t>Bin</t>
  </si>
  <si>
    <t>Expected</t>
  </si>
  <si>
    <t>Observed</t>
  </si>
  <si>
    <t xml:space="preserve">Used the PIC's internal analog read to measure the unamplified (just after the low pass filter) current.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</si>
</sst>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 current for each bit from 0x00</a:t>
            </a:r>
            <a:r>
              <a:rPr lang="en-US" baseline="0"/>
              <a:t> to 0x7F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Sheet1!$V$7</c:f>
              <c:strCache>
                <c:ptCount val="1"/>
                <c:pt idx="0">
                  <c:v>Observed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Sheet1!$U$8:$U$48</c:f>
              <c:numCache>
                <c:formatCode>General</c:formatCode>
                <c:ptCount val="41"/>
                <c:pt idx="0">
                  <c:v>4.7141167216519939</c:v>
                </c:pt>
                <c:pt idx="1">
                  <c:v>5.9140873961387967</c:v>
                </c:pt>
                <c:pt idx="2">
                  <c:v>7.1140580706256031</c:v>
                </c:pt>
                <c:pt idx="3">
                  <c:v>8.314028745112406</c:v>
                </c:pt>
                <c:pt idx="4">
                  <c:v>9.5139994195992088</c:v>
                </c:pt>
                <c:pt idx="5">
                  <c:v>10.713970094086012</c:v>
                </c:pt>
                <c:pt idx="6">
                  <c:v>11.913940768572814</c:v>
                </c:pt>
                <c:pt idx="7">
                  <c:v>13.113911443059619</c:v>
                </c:pt>
                <c:pt idx="8">
                  <c:v>14.313882117546422</c:v>
                </c:pt>
                <c:pt idx="9">
                  <c:v>15.513852792033227</c:v>
                </c:pt>
                <c:pt idx="10">
                  <c:v>16.713823466520029</c:v>
                </c:pt>
                <c:pt idx="11">
                  <c:v>17.913794141006832</c:v>
                </c:pt>
                <c:pt idx="12">
                  <c:v>19.113764815493639</c:v>
                </c:pt>
                <c:pt idx="13">
                  <c:v>20.313735489980438</c:v>
                </c:pt>
                <c:pt idx="14">
                  <c:v>21.513706164467244</c:v>
                </c:pt>
                <c:pt idx="15">
                  <c:v>22.713676838954047</c:v>
                </c:pt>
                <c:pt idx="16">
                  <c:v>23.91364751344085</c:v>
                </c:pt>
                <c:pt idx="17">
                  <c:v>25.113618187927653</c:v>
                </c:pt>
                <c:pt idx="18">
                  <c:v>26.313588862414459</c:v>
                </c:pt>
                <c:pt idx="19">
                  <c:v>27.513559536901262</c:v>
                </c:pt>
                <c:pt idx="20">
                  <c:v>28.713530211388065</c:v>
                </c:pt>
                <c:pt idx="21">
                  <c:v>29.913500885874868</c:v>
                </c:pt>
                <c:pt idx="22">
                  <c:v>31.11347156036167</c:v>
                </c:pt>
                <c:pt idx="23">
                  <c:v>32.313442234848473</c:v>
                </c:pt>
                <c:pt idx="24">
                  <c:v>33.51341290933528</c:v>
                </c:pt>
                <c:pt idx="25">
                  <c:v>34.713383583822079</c:v>
                </c:pt>
                <c:pt idx="26">
                  <c:v>35.913354258308885</c:v>
                </c:pt>
                <c:pt idx="27">
                  <c:v>37.113324932795692</c:v>
                </c:pt>
                <c:pt idx="28">
                  <c:v>38.313295607282491</c:v>
                </c:pt>
                <c:pt idx="29">
                  <c:v>39.513266281769297</c:v>
                </c:pt>
                <c:pt idx="30">
                  <c:v>40.713236956256097</c:v>
                </c:pt>
                <c:pt idx="31">
                  <c:v>41.913207630742903</c:v>
                </c:pt>
                <c:pt idx="32">
                  <c:v>43.11317830522971</c:v>
                </c:pt>
                <c:pt idx="33">
                  <c:v>44.313148979716509</c:v>
                </c:pt>
                <c:pt idx="34">
                  <c:v>45.513119654203315</c:v>
                </c:pt>
                <c:pt idx="35">
                  <c:v>46.713090328690114</c:v>
                </c:pt>
                <c:pt idx="36">
                  <c:v>47.913061003176921</c:v>
                </c:pt>
                <c:pt idx="37">
                  <c:v>49.113031677663727</c:v>
                </c:pt>
                <c:pt idx="38">
                  <c:v>50.313002352150527</c:v>
                </c:pt>
                <c:pt idx="39">
                  <c:v>51.512973026637333</c:v>
                </c:pt>
                <c:pt idx="40">
                  <c:v>52.712943701124132</c:v>
                </c:pt>
              </c:numCache>
            </c:numRef>
          </c:xVal>
          <c:yVal>
            <c:numRef>
              <c:f>Sheet1!$V$8:$V$48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8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5</c:v>
                </c:pt>
                <c:pt idx="22">
                  <c:v>12</c:v>
                </c:pt>
                <c:pt idx="23">
                  <c:v>7</c:v>
                </c:pt>
                <c:pt idx="24">
                  <c:v>5</c:v>
                </c:pt>
                <c:pt idx="25">
                  <c:v>2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5-004A-BFD0-E67551EDCCF2}"/>
            </c:ext>
          </c:extLst>
        </c:ser>
        <c:ser>
          <c:idx val="1"/>
          <c:order val="1"/>
          <c:tx>
            <c:strRef>
              <c:f>Sheet1!$W$7</c:f>
              <c:strCache>
                <c:ptCount val="1"/>
                <c:pt idx="0">
                  <c:v>Expected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Sheet1!$U$8:$U$48</c:f>
              <c:numCache>
                <c:formatCode>General</c:formatCode>
                <c:ptCount val="41"/>
                <c:pt idx="0">
                  <c:v>4.7141167216519939</c:v>
                </c:pt>
                <c:pt idx="1">
                  <c:v>5.9140873961387967</c:v>
                </c:pt>
                <c:pt idx="2">
                  <c:v>7.1140580706256031</c:v>
                </c:pt>
                <c:pt idx="3">
                  <c:v>8.314028745112406</c:v>
                </c:pt>
                <c:pt idx="4">
                  <c:v>9.5139994195992088</c:v>
                </c:pt>
                <c:pt idx="5">
                  <c:v>10.713970094086012</c:v>
                </c:pt>
                <c:pt idx="6">
                  <c:v>11.913940768572814</c:v>
                </c:pt>
                <c:pt idx="7">
                  <c:v>13.113911443059619</c:v>
                </c:pt>
                <c:pt idx="8">
                  <c:v>14.313882117546422</c:v>
                </c:pt>
                <c:pt idx="9">
                  <c:v>15.513852792033227</c:v>
                </c:pt>
                <c:pt idx="10">
                  <c:v>16.713823466520029</c:v>
                </c:pt>
                <c:pt idx="11">
                  <c:v>17.913794141006832</c:v>
                </c:pt>
                <c:pt idx="12">
                  <c:v>19.113764815493639</c:v>
                </c:pt>
                <c:pt idx="13">
                  <c:v>20.313735489980438</c:v>
                </c:pt>
                <c:pt idx="14">
                  <c:v>21.513706164467244</c:v>
                </c:pt>
                <c:pt idx="15">
                  <c:v>22.713676838954047</c:v>
                </c:pt>
                <c:pt idx="16">
                  <c:v>23.91364751344085</c:v>
                </c:pt>
                <c:pt idx="17">
                  <c:v>25.113618187927653</c:v>
                </c:pt>
                <c:pt idx="18">
                  <c:v>26.313588862414459</c:v>
                </c:pt>
                <c:pt idx="19">
                  <c:v>27.513559536901262</c:v>
                </c:pt>
                <c:pt idx="20">
                  <c:v>28.713530211388065</c:v>
                </c:pt>
                <c:pt idx="21">
                  <c:v>29.913500885874868</c:v>
                </c:pt>
                <c:pt idx="22">
                  <c:v>31.11347156036167</c:v>
                </c:pt>
                <c:pt idx="23">
                  <c:v>32.313442234848473</c:v>
                </c:pt>
                <c:pt idx="24">
                  <c:v>33.51341290933528</c:v>
                </c:pt>
                <c:pt idx="25">
                  <c:v>34.713383583822079</c:v>
                </c:pt>
                <c:pt idx="26">
                  <c:v>35.913354258308885</c:v>
                </c:pt>
                <c:pt idx="27">
                  <c:v>37.113324932795692</c:v>
                </c:pt>
                <c:pt idx="28">
                  <c:v>38.313295607282491</c:v>
                </c:pt>
                <c:pt idx="29">
                  <c:v>39.513266281769297</c:v>
                </c:pt>
                <c:pt idx="30">
                  <c:v>40.713236956256097</c:v>
                </c:pt>
                <c:pt idx="31">
                  <c:v>41.913207630742903</c:v>
                </c:pt>
                <c:pt idx="32">
                  <c:v>43.11317830522971</c:v>
                </c:pt>
                <c:pt idx="33">
                  <c:v>44.313148979716509</c:v>
                </c:pt>
                <c:pt idx="34">
                  <c:v>45.513119654203315</c:v>
                </c:pt>
                <c:pt idx="35">
                  <c:v>46.713090328690114</c:v>
                </c:pt>
                <c:pt idx="36">
                  <c:v>47.913061003176921</c:v>
                </c:pt>
                <c:pt idx="37">
                  <c:v>49.113031677663727</c:v>
                </c:pt>
                <c:pt idx="38">
                  <c:v>50.313002352150527</c:v>
                </c:pt>
                <c:pt idx="39">
                  <c:v>51.512973026637333</c:v>
                </c:pt>
                <c:pt idx="40">
                  <c:v>52.712943701124132</c:v>
                </c:pt>
              </c:numCache>
            </c:numRef>
          </c:xVal>
          <c:yVal>
            <c:numRef>
              <c:f>Sheet1!$W$8:$W$48</c:f>
              <c:numCache>
                <c:formatCode>General</c:formatCode>
                <c:ptCount val="41"/>
                <c:pt idx="0">
                  <c:v>1.7313099202534463E-2</c:v>
                </c:pt>
                <c:pt idx="1">
                  <c:v>3.1255145995294734E-2</c:v>
                </c:pt>
                <c:pt idx="2">
                  <c:v>5.4740908957060921E-2</c:v>
                </c:pt>
                <c:pt idx="3">
                  <c:v>9.3013553239162008E-2</c:v>
                </c:pt>
                <c:pt idx="4">
                  <c:v>0.15332897215675512</c:v>
                </c:pt>
                <c:pt idx="5">
                  <c:v>0.24521440087078619</c:v>
                </c:pt>
                <c:pt idx="6">
                  <c:v>0.38046216705311325</c:v>
                </c:pt>
                <c:pt idx="7">
                  <c:v>0.57269150496382448</c:v>
                </c:pt>
                <c:pt idx="8">
                  <c:v>0.83632246550423206</c:v>
                </c:pt>
                <c:pt idx="9">
                  <c:v>1.1848695627204144</c:v>
                </c:pt>
                <c:pt idx="10">
                  <c:v>1.6285874427605631</c:v>
                </c:pt>
                <c:pt idx="11">
                  <c:v>2.1716777339350148</c:v>
                </c:pt>
                <c:pt idx="12">
                  <c:v>2.8094637546158845</c:v>
                </c:pt>
                <c:pt idx="13">
                  <c:v>3.526105050673856</c:v>
                </c:pt>
                <c:pt idx="14">
                  <c:v>4.2934935838369412</c:v>
                </c:pt>
                <c:pt idx="15">
                  <c:v>5.0718937604281686</c:v>
                </c:pt>
                <c:pt idx="16">
                  <c:v>5.8126374523764737</c:v>
                </c:pt>
                <c:pt idx="17">
                  <c:v>6.4627905610831515</c:v>
                </c:pt>
                <c:pt idx="18">
                  <c:v>6.9712504642994464</c:v>
                </c:pt>
                <c:pt idx="19">
                  <c:v>7.2953318030482892</c:v>
                </c:pt>
                <c:pt idx="20">
                  <c:v>7.4066729779146216</c:v>
                </c:pt>
                <c:pt idx="21">
                  <c:v>7.2953318030482892</c:v>
                </c:pt>
                <c:pt idx="22">
                  <c:v>6.9712504642994464</c:v>
                </c:pt>
                <c:pt idx="23">
                  <c:v>6.4627905610831524</c:v>
                </c:pt>
                <c:pt idx="24">
                  <c:v>5.8126374523764737</c:v>
                </c:pt>
                <c:pt idx="25">
                  <c:v>5.0718937604281713</c:v>
                </c:pt>
                <c:pt idx="26">
                  <c:v>4.2934935838369412</c:v>
                </c:pt>
                <c:pt idx="27">
                  <c:v>3.526105050673856</c:v>
                </c:pt>
                <c:pt idx="28">
                  <c:v>2.8094637546158845</c:v>
                </c:pt>
                <c:pt idx="29">
                  <c:v>2.1716777339350148</c:v>
                </c:pt>
                <c:pt idx="30">
                  <c:v>1.6285874427605647</c:v>
                </c:pt>
                <c:pt idx="31">
                  <c:v>1.1848695627204144</c:v>
                </c:pt>
                <c:pt idx="32">
                  <c:v>0.83632246550423139</c:v>
                </c:pt>
                <c:pt idx="33">
                  <c:v>0.57269150496382526</c:v>
                </c:pt>
                <c:pt idx="34">
                  <c:v>0.38046216705311325</c:v>
                </c:pt>
                <c:pt idx="35">
                  <c:v>0.24521440087078655</c:v>
                </c:pt>
                <c:pt idx="36">
                  <c:v>0.15332897215675512</c:v>
                </c:pt>
                <c:pt idx="37">
                  <c:v>9.3013553239161773E-2</c:v>
                </c:pt>
                <c:pt idx="38">
                  <c:v>5.4740908957060921E-2</c:v>
                </c:pt>
                <c:pt idx="39">
                  <c:v>3.1255145995294734E-2</c:v>
                </c:pt>
                <c:pt idx="40">
                  <c:v>1.7313099202534491E-2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E5-004A-BFD0-E67551EDC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12416"/>
        <c:axId val="1818948287"/>
      </c:scatterChart>
      <c:valAx>
        <c:axId val="7341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Read</a:t>
                </a:r>
                <a:r>
                  <a:rPr lang="en-US" baseline="0"/>
                  <a:t> current (uA)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948287"/>
        <c:crosses val="autoZero"/>
        <c:crossBetween val="midCat"/>
      </c:valAx>
      <c:valAx>
        <c:axId val="18189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1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520700</xdr:colOff>
      <xdr:row>10</xdr:row>
      <xdr:rowOff>88900</xdr:rowOff>
    </xdr:from>
    <xdr:to>
      <xdr:col>30</xdr:col>
      <xdr:colOff>444500</xdr:colOff>
      <xdr:row>28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1614F4-49A6-9259-8004-E8847C168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E242-895F-3444-B079-B60247D499CF}">
  <dimension ref="D1:W134"/>
  <sheetViews>
    <sheetView tabSelected="1" topLeftCell="K1" workbookViewId="0">
      <selection activeCell="F134" sqref="F134"/>
    </sheetView>
  </sheetViews>
  <sheetFormatPr baseColWidth="10" defaultRowHeight="16" x14ac:dyDescent="0.2"/>
  <sheetData>
    <row r="1" spans="4:23" x14ac:dyDescent="0.2">
      <c r="E1" t="s">
        <v>6</v>
      </c>
      <c r="F1">
        <f>AVERAGE(L7:L135)</f>
        <v>28.713530211388065</v>
      </c>
      <c r="H1">
        <f>COUNT(G7:G134)</f>
        <v>128</v>
      </c>
    </row>
    <row r="2" spans="4:23" x14ac:dyDescent="0.2">
      <c r="E2" t="s">
        <v>7</v>
      </c>
      <c r="F2">
        <f>STDEV(L7:L135)</f>
        <v>6.8944061717925118</v>
      </c>
      <c r="V2">
        <f>SUM(V8:V49)</f>
        <v>128</v>
      </c>
    </row>
    <row r="3" spans="4:23" x14ac:dyDescent="0.2">
      <c r="P3">
        <v>30</v>
      </c>
    </row>
    <row r="4" spans="4:23" x14ac:dyDescent="0.2">
      <c r="D4" t="s">
        <v>13</v>
      </c>
    </row>
    <row r="6" spans="4:23" ht="17" thickBot="1" x14ac:dyDescent="0.25">
      <c r="G6" t="s">
        <v>0</v>
      </c>
      <c r="H6" t="s">
        <v>1</v>
      </c>
      <c r="I6" t="s">
        <v>2</v>
      </c>
      <c r="J6" t="s">
        <v>3</v>
      </c>
      <c r="K6" t="s">
        <v>4</v>
      </c>
      <c r="L6" t="s">
        <v>5</v>
      </c>
      <c r="Q6" t="s">
        <v>8</v>
      </c>
      <c r="R6" t="s">
        <v>9</v>
      </c>
    </row>
    <row r="7" spans="4:23" x14ac:dyDescent="0.2">
      <c r="G7">
        <v>0</v>
      </c>
      <c r="H7">
        <v>1023</v>
      </c>
      <c r="I7">
        <v>1</v>
      </c>
      <c r="J7">
        <f>H7*4.93/1023</f>
        <v>4.93</v>
      </c>
      <c r="K7">
        <f>I7*4.93/1023</f>
        <v>4.8191593352883673E-3</v>
      </c>
      <c r="L7">
        <f>J7*10</f>
        <v>49.3</v>
      </c>
      <c r="M7">
        <f>K7*10</f>
        <v>4.8191593352883672E-2</v>
      </c>
      <c r="P7">
        <v>-20</v>
      </c>
      <c r="Q7">
        <f>P7/$P$3</f>
        <v>-0.66666666666666663</v>
      </c>
      <c r="R7">
        <f t="shared" ref="R7:R47" si="0">Q7*$L$34+$F$1</f>
        <v>4.7141167216519939</v>
      </c>
      <c r="U7" s="2" t="s">
        <v>10</v>
      </c>
      <c r="V7" s="2" t="s">
        <v>12</v>
      </c>
      <c r="W7" t="s">
        <v>11</v>
      </c>
    </row>
    <row r="8" spans="4:23" x14ac:dyDescent="0.2">
      <c r="G8">
        <v>1</v>
      </c>
      <c r="H8">
        <v>540</v>
      </c>
      <c r="I8">
        <v>1</v>
      </c>
      <c r="J8">
        <f t="shared" ref="J8:J71" si="1">H8*4.93/1023</f>
        <v>2.6023460410557182</v>
      </c>
      <c r="K8">
        <f t="shared" ref="K8:K70" si="2">I8*4.93/1023</f>
        <v>4.8191593352883673E-3</v>
      </c>
      <c r="L8">
        <f t="shared" ref="L8:L71" si="3">J8*10</f>
        <v>26.023460410557181</v>
      </c>
      <c r="M8">
        <f t="shared" ref="M8:M70" si="4">K8*10</f>
        <v>4.8191593352883672E-2</v>
      </c>
      <c r="P8">
        <v>-19</v>
      </c>
      <c r="Q8">
        <f t="shared" ref="Q8:Q47" si="5">P8/$P$3</f>
        <v>-0.6333333333333333</v>
      </c>
      <c r="R8">
        <f t="shared" si="0"/>
        <v>5.9140873961387967</v>
      </c>
      <c r="U8">
        <v>4.7141167216519939</v>
      </c>
      <c r="V8">
        <v>0</v>
      </c>
      <c r="W8">
        <f>$V$2*1/($F$2*SQRT(2*PI()))*EXP(-0.5*((U8-$F$1)/$F$2)^2)</f>
        <v>1.7313099202534463E-2</v>
      </c>
    </row>
    <row r="9" spans="4:23" x14ac:dyDescent="0.2">
      <c r="G9">
        <v>2</v>
      </c>
      <c r="H9">
        <v>569</v>
      </c>
      <c r="I9">
        <v>1</v>
      </c>
      <c r="J9">
        <f t="shared" si="1"/>
        <v>2.7421016617790808</v>
      </c>
      <c r="K9">
        <f t="shared" si="2"/>
        <v>4.8191593352883673E-3</v>
      </c>
      <c r="L9">
        <f t="shared" si="3"/>
        <v>27.421016617790809</v>
      </c>
      <c r="M9">
        <f t="shared" si="4"/>
        <v>4.8191593352883672E-2</v>
      </c>
      <c r="P9">
        <v>-18</v>
      </c>
      <c r="Q9">
        <f t="shared" si="5"/>
        <v>-0.6</v>
      </c>
      <c r="R9">
        <f t="shared" si="0"/>
        <v>7.1140580706256031</v>
      </c>
      <c r="U9">
        <v>5.9140873961387967</v>
      </c>
      <c r="V9">
        <v>0</v>
      </c>
      <c r="W9">
        <f t="shared" ref="W9:W46" si="6">$V$2*1/($F$2*SQRT(2*PI()))*EXP(-0.5*((U9-$F$1)/$F$2)^2)</f>
        <v>3.1255145995294734E-2</v>
      </c>
    </row>
    <row r="10" spans="4:23" x14ac:dyDescent="0.2">
      <c r="G10">
        <v>3</v>
      </c>
      <c r="H10">
        <v>741</v>
      </c>
      <c r="I10">
        <v>1</v>
      </c>
      <c r="J10">
        <f t="shared" si="1"/>
        <v>3.5709970674486802</v>
      </c>
      <c r="K10">
        <f t="shared" si="2"/>
        <v>4.8191593352883673E-3</v>
      </c>
      <c r="L10">
        <f t="shared" si="3"/>
        <v>35.709970674486804</v>
      </c>
      <c r="M10">
        <f t="shared" si="4"/>
        <v>4.8191593352883672E-2</v>
      </c>
      <c r="P10">
        <v>-17</v>
      </c>
      <c r="Q10">
        <f t="shared" si="5"/>
        <v>-0.56666666666666665</v>
      </c>
      <c r="R10">
        <f t="shared" si="0"/>
        <v>8.314028745112406</v>
      </c>
      <c r="U10">
        <v>7.1140580706256031</v>
      </c>
      <c r="V10">
        <v>0</v>
      </c>
      <c r="W10">
        <f t="shared" si="6"/>
        <v>5.4740908957060921E-2</v>
      </c>
    </row>
    <row r="11" spans="4:23" x14ac:dyDescent="0.2">
      <c r="G11">
        <v>4</v>
      </c>
      <c r="H11">
        <v>707</v>
      </c>
      <c r="I11">
        <v>2</v>
      </c>
      <c r="J11">
        <f t="shared" si="1"/>
        <v>3.4071456500488755</v>
      </c>
      <c r="K11">
        <f t="shared" si="2"/>
        <v>9.6383186705767347E-3</v>
      </c>
      <c r="L11">
        <f t="shared" si="3"/>
        <v>34.071456500488758</v>
      </c>
      <c r="M11">
        <f t="shared" si="4"/>
        <v>9.6383186705767343E-2</v>
      </c>
      <c r="P11">
        <v>-16</v>
      </c>
      <c r="Q11">
        <f t="shared" si="5"/>
        <v>-0.53333333333333333</v>
      </c>
      <c r="R11">
        <f t="shared" si="0"/>
        <v>9.5139994195992088</v>
      </c>
      <c r="U11">
        <v>8.314028745112406</v>
      </c>
      <c r="V11">
        <v>0</v>
      </c>
      <c r="W11">
        <f t="shared" si="6"/>
        <v>9.3013553239162008E-2</v>
      </c>
    </row>
    <row r="12" spans="4:23" x14ac:dyDescent="0.2">
      <c r="G12">
        <v>5</v>
      </c>
      <c r="H12">
        <v>641</v>
      </c>
      <c r="I12">
        <v>3</v>
      </c>
      <c r="J12">
        <f t="shared" si="1"/>
        <v>3.0890811339198434</v>
      </c>
      <c r="K12">
        <f t="shared" si="2"/>
        <v>1.4457478005865101E-2</v>
      </c>
      <c r="L12">
        <f t="shared" si="3"/>
        <v>30.890811339198436</v>
      </c>
      <c r="M12">
        <f t="shared" si="4"/>
        <v>0.14457478005865101</v>
      </c>
      <c r="P12">
        <v>-15</v>
      </c>
      <c r="Q12">
        <f t="shared" si="5"/>
        <v>-0.5</v>
      </c>
      <c r="R12">
        <f t="shared" si="0"/>
        <v>10.713970094086012</v>
      </c>
      <c r="U12">
        <v>9.5139994195992088</v>
      </c>
      <c r="V12">
        <v>0</v>
      </c>
      <c r="W12">
        <f t="shared" si="6"/>
        <v>0.15332897215675512</v>
      </c>
    </row>
    <row r="13" spans="4:23" x14ac:dyDescent="0.2">
      <c r="G13">
        <v>6</v>
      </c>
      <c r="H13">
        <v>572</v>
      </c>
      <c r="I13">
        <v>1</v>
      </c>
      <c r="J13">
        <f t="shared" si="1"/>
        <v>2.7565591397849465</v>
      </c>
      <c r="K13">
        <f t="shared" si="2"/>
        <v>4.8191593352883673E-3</v>
      </c>
      <c r="L13">
        <f t="shared" si="3"/>
        <v>27.565591397849467</v>
      </c>
      <c r="M13">
        <f t="shared" si="4"/>
        <v>4.8191593352883672E-2</v>
      </c>
      <c r="P13">
        <v>-14</v>
      </c>
      <c r="Q13">
        <f t="shared" si="5"/>
        <v>-0.46666666666666667</v>
      </c>
      <c r="R13">
        <f t="shared" si="0"/>
        <v>11.913940768572814</v>
      </c>
      <c r="U13">
        <v>10.713970094086012</v>
      </c>
      <c r="V13">
        <v>0</v>
      </c>
      <c r="W13">
        <f t="shared" si="6"/>
        <v>0.24521440087078619</v>
      </c>
    </row>
    <row r="14" spans="4:23" x14ac:dyDescent="0.2">
      <c r="G14">
        <v>7</v>
      </c>
      <c r="H14">
        <v>782</v>
      </c>
      <c r="I14">
        <v>2</v>
      </c>
      <c r="J14">
        <f t="shared" si="1"/>
        <v>3.7685826001955034</v>
      </c>
      <c r="K14">
        <f t="shared" si="2"/>
        <v>9.6383186705767347E-3</v>
      </c>
      <c r="L14">
        <f t="shared" si="3"/>
        <v>37.685826001955036</v>
      </c>
      <c r="M14">
        <f t="shared" si="4"/>
        <v>9.6383186705767343E-2</v>
      </c>
      <c r="P14">
        <v>-13</v>
      </c>
      <c r="Q14">
        <f t="shared" si="5"/>
        <v>-0.43333333333333335</v>
      </c>
      <c r="R14">
        <f t="shared" si="0"/>
        <v>13.113911443059619</v>
      </c>
      <c r="U14">
        <v>11.913940768572814</v>
      </c>
      <c r="V14">
        <v>0</v>
      </c>
      <c r="W14">
        <f t="shared" si="6"/>
        <v>0.38046216705311325</v>
      </c>
    </row>
    <row r="15" spans="4:23" x14ac:dyDescent="0.2">
      <c r="G15">
        <v>8</v>
      </c>
      <c r="H15">
        <v>893</v>
      </c>
      <c r="I15">
        <v>11</v>
      </c>
      <c r="J15">
        <f t="shared" si="1"/>
        <v>4.3035092864125124</v>
      </c>
      <c r="K15">
        <f t="shared" si="2"/>
        <v>5.3010752688172041E-2</v>
      </c>
      <c r="L15">
        <f t="shared" si="3"/>
        <v>43.035092864125126</v>
      </c>
      <c r="M15">
        <f t="shared" si="4"/>
        <v>0.53010752688172036</v>
      </c>
      <c r="P15">
        <v>-12</v>
      </c>
      <c r="Q15">
        <f t="shared" si="5"/>
        <v>-0.4</v>
      </c>
      <c r="R15">
        <f t="shared" si="0"/>
        <v>14.313882117546422</v>
      </c>
      <c r="U15">
        <v>13.113911443059619</v>
      </c>
      <c r="V15">
        <v>0</v>
      </c>
      <c r="W15">
        <f t="shared" si="6"/>
        <v>0.57269150496382448</v>
      </c>
    </row>
    <row r="16" spans="4:23" x14ac:dyDescent="0.2">
      <c r="G16">
        <v>9</v>
      </c>
      <c r="H16">
        <v>628</v>
      </c>
      <c r="I16">
        <v>1</v>
      </c>
      <c r="J16">
        <f t="shared" si="1"/>
        <v>3.0264320625610948</v>
      </c>
      <c r="K16">
        <f t="shared" si="2"/>
        <v>4.8191593352883673E-3</v>
      </c>
      <c r="L16">
        <f t="shared" si="3"/>
        <v>30.264320625610949</v>
      </c>
      <c r="M16">
        <f t="shared" si="4"/>
        <v>4.8191593352883672E-2</v>
      </c>
      <c r="P16">
        <v>-11</v>
      </c>
      <c r="Q16">
        <f t="shared" si="5"/>
        <v>-0.36666666666666664</v>
      </c>
      <c r="R16">
        <f t="shared" si="0"/>
        <v>15.513852792033227</v>
      </c>
      <c r="U16">
        <v>14.313882117546422</v>
      </c>
      <c r="V16">
        <v>0</v>
      </c>
      <c r="W16">
        <f t="shared" si="6"/>
        <v>0.83632246550423206</v>
      </c>
    </row>
    <row r="17" spans="7:23" x14ac:dyDescent="0.2">
      <c r="G17">
        <v>10</v>
      </c>
      <c r="H17">
        <v>705</v>
      </c>
      <c r="I17">
        <v>1</v>
      </c>
      <c r="J17">
        <f t="shared" si="1"/>
        <v>3.3975073313782986</v>
      </c>
      <c r="K17">
        <f t="shared" si="2"/>
        <v>4.8191593352883673E-3</v>
      </c>
      <c r="L17">
        <f t="shared" si="3"/>
        <v>33.975073313782985</v>
      </c>
      <c r="M17">
        <f t="shared" si="4"/>
        <v>4.8191593352883672E-2</v>
      </c>
      <c r="P17">
        <v>-10</v>
      </c>
      <c r="Q17">
        <f t="shared" si="5"/>
        <v>-0.33333333333333331</v>
      </c>
      <c r="R17">
        <f t="shared" si="0"/>
        <v>16.713823466520029</v>
      </c>
      <c r="U17">
        <v>15.513852792033227</v>
      </c>
      <c r="V17">
        <v>0</v>
      </c>
      <c r="W17">
        <f t="shared" si="6"/>
        <v>1.1848695627204144</v>
      </c>
    </row>
    <row r="18" spans="7:23" x14ac:dyDescent="0.2">
      <c r="G18">
        <v>11</v>
      </c>
      <c r="H18">
        <v>868</v>
      </c>
      <c r="I18">
        <v>2</v>
      </c>
      <c r="J18">
        <f t="shared" si="1"/>
        <v>4.1830303030303027</v>
      </c>
      <c r="K18">
        <f t="shared" si="2"/>
        <v>9.6383186705767347E-3</v>
      </c>
      <c r="L18">
        <f t="shared" si="3"/>
        <v>41.830303030303028</v>
      </c>
      <c r="M18">
        <f t="shared" si="4"/>
        <v>9.6383186705767343E-2</v>
      </c>
      <c r="P18">
        <v>-9</v>
      </c>
      <c r="Q18">
        <f t="shared" si="5"/>
        <v>-0.3</v>
      </c>
      <c r="R18">
        <f t="shared" si="0"/>
        <v>17.913794141006832</v>
      </c>
      <c r="U18">
        <v>16.713823466520029</v>
      </c>
      <c r="V18">
        <v>2</v>
      </c>
      <c r="W18">
        <f t="shared" si="6"/>
        <v>1.6285874427605631</v>
      </c>
    </row>
    <row r="19" spans="7:23" x14ac:dyDescent="0.2">
      <c r="G19">
        <v>12</v>
      </c>
      <c r="H19">
        <v>553</v>
      </c>
      <c r="I19">
        <v>2</v>
      </c>
      <c r="J19">
        <f t="shared" si="1"/>
        <v>2.6649951124144673</v>
      </c>
      <c r="K19">
        <f t="shared" si="2"/>
        <v>9.6383186705767347E-3</v>
      </c>
      <c r="L19">
        <f t="shared" si="3"/>
        <v>26.649951124144671</v>
      </c>
      <c r="M19">
        <f t="shared" si="4"/>
        <v>9.6383186705767343E-2</v>
      </c>
      <c r="P19">
        <v>-8</v>
      </c>
      <c r="Q19">
        <f t="shared" si="5"/>
        <v>-0.26666666666666666</v>
      </c>
      <c r="R19">
        <f t="shared" si="0"/>
        <v>19.113764815493639</v>
      </c>
      <c r="U19">
        <v>17.913794141006832</v>
      </c>
      <c r="V19">
        <v>2</v>
      </c>
      <c r="W19">
        <f t="shared" si="6"/>
        <v>2.1716777339350148</v>
      </c>
    </row>
    <row r="20" spans="7:23" x14ac:dyDescent="0.2">
      <c r="G20">
        <v>13</v>
      </c>
      <c r="H20">
        <v>355</v>
      </c>
      <c r="I20">
        <v>2</v>
      </c>
      <c r="J20">
        <f t="shared" si="1"/>
        <v>1.7108015640273704</v>
      </c>
      <c r="K20">
        <f t="shared" si="2"/>
        <v>9.6383186705767347E-3</v>
      </c>
      <c r="L20">
        <f t="shared" si="3"/>
        <v>17.108015640273702</v>
      </c>
      <c r="M20">
        <f t="shared" si="4"/>
        <v>9.6383186705767343E-2</v>
      </c>
      <c r="P20">
        <v>-7</v>
      </c>
      <c r="Q20">
        <f t="shared" si="5"/>
        <v>-0.23333333333333334</v>
      </c>
      <c r="R20">
        <f t="shared" si="0"/>
        <v>20.313735489980438</v>
      </c>
      <c r="U20">
        <v>19.113764815493639</v>
      </c>
      <c r="V20">
        <v>3</v>
      </c>
      <c r="W20">
        <f t="shared" si="6"/>
        <v>2.8094637546158845</v>
      </c>
    </row>
    <row r="21" spans="7:23" x14ac:dyDescent="0.2">
      <c r="G21">
        <v>14</v>
      </c>
      <c r="H21">
        <v>438</v>
      </c>
      <c r="I21">
        <v>3</v>
      </c>
      <c r="J21">
        <f t="shared" si="1"/>
        <v>2.1107917888563046</v>
      </c>
      <c r="K21">
        <f t="shared" si="2"/>
        <v>1.4457478005865101E-2</v>
      </c>
      <c r="L21">
        <f t="shared" si="3"/>
        <v>21.107917888563044</v>
      </c>
      <c r="M21">
        <f t="shared" si="4"/>
        <v>0.14457478005865101</v>
      </c>
      <c r="P21">
        <v>-6</v>
      </c>
      <c r="Q21">
        <f t="shared" si="5"/>
        <v>-0.2</v>
      </c>
      <c r="R21">
        <f t="shared" si="0"/>
        <v>21.513706164467244</v>
      </c>
      <c r="U21">
        <v>20.313735489980438</v>
      </c>
      <c r="V21">
        <v>4</v>
      </c>
      <c r="W21">
        <f t="shared" si="6"/>
        <v>3.526105050673856</v>
      </c>
    </row>
    <row r="22" spans="7:23" x14ac:dyDescent="0.2">
      <c r="G22">
        <v>15</v>
      </c>
      <c r="H22">
        <v>488</v>
      </c>
      <c r="I22">
        <v>1</v>
      </c>
      <c r="J22">
        <f t="shared" si="1"/>
        <v>2.3517497556207232</v>
      </c>
      <c r="K22">
        <f t="shared" si="2"/>
        <v>4.8191593352883673E-3</v>
      </c>
      <c r="L22">
        <f t="shared" si="3"/>
        <v>23.517497556207232</v>
      </c>
      <c r="M22">
        <f t="shared" si="4"/>
        <v>4.8191593352883672E-2</v>
      </c>
      <c r="P22">
        <v>-5</v>
      </c>
      <c r="Q22">
        <f t="shared" si="5"/>
        <v>-0.16666666666666666</v>
      </c>
      <c r="R22">
        <f t="shared" si="0"/>
        <v>22.713676838954047</v>
      </c>
      <c r="U22">
        <v>21.513706164467244</v>
      </c>
      <c r="V22">
        <v>8</v>
      </c>
      <c r="W22">
        <f t="shared" si="6"/>
        <v>4.2934935838369412</v>
      </c>
    </row>
    <row r="23" spans="7:23" x14ac:dyDescent="0.2">
      <c r="G23">
        <v>16</v>
      </c>
      <c r="H23">
        <v>743</v>
      </c>
      <c r="I23">
        <v>7</v>
      </c>
      <c r="J23">
        <f t="shared" si="1"/>
        <v>3.580635386119257</v>
      </c>
      <c r="K23">
        <f t="shared" si="2"/>
        <v>3.3734115347018569E-2</v>
      </c>
      <c r="L23">
        <f t="shared" si="3"/>
        <v>35.806353861192569</v>
      </c>
      <c r="M23">
        <f t="shared" si="4"/>
        <v>0.33734115347018567</v>
      </c>
      <c r="P23">
        <v>-4</v>
      </c>
      <c r="Q23">
        <f t="shared" si="5"/>
        <v>-0.13333333333333333</v>
      </c>
      <c r="R23">
        <f t="shared" si="0"/>
        <v>23.91364751344085</v>
      </c>
      <c r="U23">
        <v>22.713676838954047</v>
      </c>
      <c r="V23">
        <v>6</v>
      </c>
      <c r="W23">
        <f t="shared" si="6"/>
        <v>5.0718937604281686</v>
      </c>
    </row>
    <row r="24" spans="7:23" x14ac:dyDescent="0.2">
      <c r="G24">
        <v>17</v>
      </c>
      <c r="H24">
        <v>572</v>
      </c>
      <c r="I24">
        <v>1</v>
      </c>
      <c r="J24">
        <f t="shared" si="1"/>
        <v>2.7565591397849465</v>
      </c>
      <c r="K24">
        <f t="shared" si="2"/>
        <v>4.8191593352883673E-3</v>
      </c>
      <c r="L24">
        <f t="shared" si="3"/>
        <v>27.565591397849467</v>
      </c>
      <c r="M24">
        <f t="shared" si="4"/>
        <v>4.8191593352883672E-2</v>
      </c>
      <c r="P24">
        <v>-3</v>
      </c>
      <c r="Q24">
        <f t="shared" si="5"/>
        <v>-0.1</v>
      </c>
      <c r="R24">
        <f t="shared" si="0"/>
        <v>25.113618187927653</v>
      </c>
      <c r="U24">
        <v>23.91364751344085</v>
      </c>
      <c r="V24">
        <v>7</v>
      </c>
      <c r="W24">
        <f t="shared" si="6"/>
        <v>5.8126374523764737</v>
      </c>
    </row>
    <row r="25" spans="7:23" x14ac:dyDescent="0.2">
      <c r="G25">
        <v>18</v>
      </c>
      <c r="H25">
        <v>552</v>
      </c>
      <c r="I25">
        <v>15</v>
      </c>
      <c r="J25">
        <f t="shared" si="1"/>
        <v>2.6601759530791784</v>
      </c>
      <c r="K25">
        <f t="shared" si="2"/>
        <v>7.2287390029325507E-2</v>
      </c>
      <c r="L25">
        <f t="shared" si="3"/>
        <v>26.601759530791785</v>
      </c>
      <c r="M25">
        <f t="shared" si="4"/>
        <v>0.72287390029325505</v>
      </c>
      <c r="P25">
        <v>-2</v>
      </c>
      <c r="Q25">
        <f t="shared" si="5"/>
        <v>-6.6666666666666666E-2</v>
      </c>
      <c r="R25">
        <f t="shared" si="0"/>
        <v>26.313588862414459</v>
      </c>
      <c r="U25">
        <v>25.113618187927653</v>
      </c>
      <c r="V25">
        <v>7</v>
      </c>
      <c r="W25">
        <f t="shared" si="6"/>
        <v>6.4627905610831515</v>
      </c>
    </row>
    <row r="26" spans="7:23" x14ac:dyDescent="0.2">
      <c r="G26">
        <v>19</v>
      </c>
      <c r="H26">
        <v>854</v>
      </c>
      <c r="I26">
        <v>2</v>
      </c>
      <c r="J26">
        <f t="shared" si="1"/>
        <v>4.1155620723362656</v>
      </c>
      <c r="K26">
        <f t="shared" si="2"/>
        <v>9.6383186705767347E-3</v>
      </c>
      <c r="L26">
        <f t="shared" si="3"/>
        <v>41.155620723362659</v>
      </c>
      <c r="M26">
        <f t="shared" si="4"/>
        <v>9.6383186705767343E-2</v>
      </c>
      <c r="P26">
        <v>-1</v>
      </c>
      <c r="Q26">
        <f t="shared" si="5"/>
        <v>-3.3333333333333333E-2</v>
      </c>
      <c r="R26">
        <f t="shared" si="0"/>
        <v>27.513559536901262</v>
      </c>
      <c r="U26">
        <v>26.313588862414459</v>
      </c>
      <c r="V26">
        <v>11</v>
      </c>
      <c r="W26">
        <f t="shared" si="6"/>
        <v>6.9712504642994464</v>
      </c>
    </row>
    <row r="27" spans="7:23" x14ac:dyDescent="0.2">
      <c r="G27">
        <v>20</v>
      </c>
      <c r="H27">
        <v>774</v>
      </c>
      <c r="I27">
        <v>3</v>
      </c>
      <c r="J27">
        <f t="shared" si="1"/>
        <v>3.730029325513196</v>
      </c>
      <c r="K27">
        <f t="shared" si="2"/>
        <v>1.4457478005865101E-2</v>
      </c>
      <c r="L27">
        <f t="shared" si="3"/>
        <v>37.300293255131962</v>
      </c>
      <c r="M27">
        <f t="shared" si="4"/>
        <v>0.14457478005865101</v>
      </c>
      <c r="P27">
        <v>0</v>
      </c>
      <c r="Q27">
        <f t="shared" si="5"/>
        <v>0</v>
      </c>
      <c r="R27">
        <f t="shared" si="0"/>
        <v>28.713530211388065</v>
      </c>
      <c r="U27">
        <v>27.513559536901262</v>
      </c>
      <c r="V27">
        <v>11</v>
      </c>
      <c r="W27">
        <f t="shared" si="6"/>
        <v>7.2953318030482892</v>
      </c>
    </row>
    <row r="28" spans="7:23" x14ac:dyDescent="0.2">
      <c r="G28">
        <v>21</v>
      </c>
      <c r="H28">
        <v>580</v>
      </c>
      <c r="I28">
        <v>0</v>
      </c>
      <c r="J28">
        <f t="shared" si="1"/>
        <v>2.795112414467253</v>
      </c>
      <c r="K28">
        <f t="shared" si="2"/>
        <v>0</v>
      </c>
      <c r="L28">
        <f t="shared" si="3"/>
        <v>27.95112414467253</v>
      </c>
      <c r="M28">
        <f t="shared" si="4"/>
        <v>0</v>
      </c>
      <c r="P28">
        <v>1</v>
      </c>
      <c r="Q28">
        <f t="shared" si="5"/>
        <v>3.3333333333333333E-2</v>
      </c>
      <c r="R28">
        <f t="shared" si="0"/>
        <v>29.913500885874868</v>
      </c>
      <c r="U28">
        <v>28.713530211388065</v>
      </c>
      <c r="V28">
        <v>12</v>
      </c>
      <c r="W28">
        <f t="shared" si="6"/>
        <v>7.4066729779146216</v>
      </c>
    </row>
    <row r="29" spans="7:23" x14ac:dyDescent="0.2">
      <c r="G29">
        <v>22</v>
      </c>
      <c r="H29">
        <v>689</v>
      </c>
      <c r="I29">
        <v>2</v>
      </c>
      <c r="J29">
        <f t="shared" si="1"/>
        <v>3.3204007820136852</v>
      </c>
      <c r="K29">
        <f t="shared" si="2"/>
        <v>9.6383186705767347E-3</v>
      </c>
      <c r="L29">
        <f t="shared" si="3"/>
        <v>33.204007820136852</v>
      </c>
      <c r="M29">
        <f t="shared" si="4"/>
        <v>9.6383186705767343E-2</v>
      </c>
      <c r="P29">
        <v>2</v>
      </c>
      <c r="Q29">
        <f t="shared" si="5"/>
        <v>6.6666666666666666E-2</v>
      </c>
      <c r="R29">
        <f t="shared" si="0"/>
        <v>31.11347156036167</v>
      </c>
      <c r="U29">
        <v>29.913500885874868</v>
      </c>
      <c r="V29">
        <v>5</v>
      </c>
      <c r="W29">
        <f t="shared" si="6"/>
        <v>7.2953318030482892</v>
      </c>
    </row>
    <row r="30" spans="7:23" x14ac:dyDescent="0.2">
      <c r="G30">
        <v>23</v>
      </c>
      <c r="H30">
        <v>1023</v>
      </c>
      <c r="I30">
        <v>2</v>
      </c>
      <c r="J30">
        <f t="shared" si="1"/>
        <v>4.93</v>
      </c>
      <c r="K30">
        <f t="shared" si="2"/>
        <v>9.6383186705767347E-3</v>
      </c>
      <c r="L30">
        <f t="shared" si="3"/>
        <v>49.3</v>
      </c>
      <c r="M30">
        <f t="shared" si="4"/>
        <v>9.6383186705767343E-2</v>
      </c>
      <c r="P30">
        <v>3</v>
      </c>
      <c r="Q30">
        <f t="shared" si="5"/>
        <v>0.1</v>
      </c>
      <c r="R30">
        <f t="shared" si="0"/>
        <v>32.313442234848473</v>
      </c>
      <c r="U30">
        <v>31.11347156036167</v>
      </c>
      <c r="V30">
        <v>12</v>
      </c>
      <c r="W30">
        <f t="shared" si="6"/>
        <v>6.9712504642994464</v>
      </c>
    </row>
    <row r="31" spans="7:23" x14ac:dyDescent="0.2">
      <c r="G31">
        <v>24</v>
      </c>
      <c r="H31">
        <v>643</v>
      </c>
      <c r="I31">
        <v>2</v>
      </c>
      <c r="J31">
        <f t="shared" si="1"/>
        <v>3.0987194525904203</v>
      </c>
      <c r="K31">
        <f t="shared" si="2"/>
        <v>9.6383186705767347E-3</v>
      </c>
      <c r="L31">
        <f t="shared" si="3"/>
        <v>30.987194525904201</v>
      </c>
      <c r="M31">
        <f t="shared" si="4"/>
        <v>9.6383186705767343E-2</v>
      </c>
      <c r="P31">
        <v>4</v>
      </c>
      <c r="Q31">
        <f t="shared" si="5"/>
        <v>0.13333333333333333</v>
      </c>
      <c r="R31">
        <f t="shared" si="0"/>
        <v>33.51341290933528</v>
      </c>
      <c r="U31">
        <v>32.313442234848473</v>
      </c>
      <c r="V31">
        <v>7</v>
      </c>
      <c r="W31">
        <f t="shared" si="6"/>
        <v>6.4627905610831524</v>
      </c>
    </row>
    <row r="32" spans="7:23" x14ac:dyDescent="0.2">
      <c r="G32">
        <v>25</v>
      </c>
      <c r="H32">
        <v>528</v>
      </c>
      <c r="I32">
        <v>1</v>
      </c>
      <c r="J32">
        <f t="shared" si="1"/>
        <v>2.544516129032258</v>
      </c>
      <c r="K32">
        <f t="shared" si="2"/>
        <v>4.8191593352883673E-3</v>
      </c>
      <c r="L32">
        <f t="shared" si="3"/>
        <v>25.445161290322581</v>
      </c>
      <c r="M32">
        <f t="shared" si="4"/>
        <v>4.8191593352883672E-2</v>
      </c>
      <c r="P32">
        <v>5</v>
      </c>
      <c r="Q32">
        <f t="shared" si="5"/>
        <v>0.16666666666666666</v>
      </c>
      <c r="R32">
        <f t="shared" si="0"/>
        <v>34.713383583822079</v>
      </c>
      <c r="U32">
        <v>33.51341290933528</v>
      </c>
      <c r="V32">
        <v>5</v>
      </c>
      <c r="W32">
        <f t="shared" si="6"/>
        <v>5.8126374523764737</v>
      </c>
    </row>
    <row r="33" spans="7:23" x14ac:dyDescent="0.2">
      <c r="G33">
        <v>26</v>
      </c>
      <c r="H33">
        <v>486</v>
      </c>
      <c r="I33">
        <v>0</v>
      </c>
      <c r="J33">
        <f t="shared" si="1"/>
        <v>2.3421114369501468</v>
      </c>
      <c r="K33">
        <f t="shared" si="2"/>
        <v>0</v>
      </c>
      <c r="L33">
        <f t="shared" si="3"/>
        <v>23.421114369501467</v>
      </c>
      <c r="M33">
        <f t="shared" si="4"/>
        <v>0</v>
      </c>
      <c r="P33">
        <v>6</v>
      </c>
      <c r="Q33">
        <f t="shared" si="5"/>
        <v>0.2</v>
      </c>
      <c r="R33">
        <f t="shared" si="0"/>
        <v>35.913354258308885</v>
      </c>
      <c r="U33">
        <v>34.713383583822079</v>
      </c>
      <c r="V33">
        <v>2</v>
      </c>
      <c r="W33">
        <f t="shared" si="6"/>
        <v>5.0718937604281713</v>
      </c>
    </row>
    <row r="34" spans="7:23" x14ac:dyDescent="0.2">
      <c r="G34">
        <v>27</v>
      </c>
      <c r="H34">
        <v>747</v>
      </c>
      <c r="I34">
        <v>0</v>
      </c>
      <c r="J34">
        <f t="shared" si="1"/>
        <v>3.5999120234604103</v>
      </c>
      <c r="K34">
        <f t="shared" si="2"/>
        <v>0</v>
      </c>
      <c r="L34">
        <f t="shared" si="3"/>
        <v>35.999120234604106</v>
      </c>
      <c r="M34">
        <f t="shared" si="4"/>
        <v>0</v>
      </c>
      <c r="P34">
        <v>7</v>
      </c>
      <c r="Q34">
        <f t="shared" si="5"/>
        <v>0.23333333333333334</v>
      </c>
      <c r="R34">
        <f t="shared" si="0"/>
        <v>37.113324932795692</v>
      </c>
      <c r="U34">
        <v>35.913354258308885</v>
      </c>
      <c r="V34">
        <v>5</v>
      </c>
      <c r="W34">
        <f t="shared" si="6"/>
        <v>4.2934935838369412</v>
      </c>
    </row>
    <row r="35" spans="7:23" x14ac:dyDescent="0.2">
      <c r="G35">
        <v>28</v>
      </c>
      <c r="H35">
        <v>654</v>
      </c>
      <c r="I35">
        <v>2</v>
      </c>
      <c r="J35">
        <f t="shared" si="1"/>
        <v>3.151730205278592</v>
      </c>
      <c r="K35">
        <f t="shared" si="2"/>
        <v>9.6383186705767347E-3</v>
      </c>
      <c r="L35">
        <f t="shared" si="3"/>
        <v>31.517302052785922</v>
      </c>
      <c r="M35">
        <f t="shared" si="4"/>
        <v>9.6383186705767343E-2</v>
      </c>
      <c r="P35">
        <v>8</v>
      </c>
      <c r="Q35">
        <f t="shared" si="5"/>
        <v>0.26666666666666666</v>
      </c>
      <c r="R35">
        <f t="shared" si="0"/>
        <v>38.313295607282491</v>
      </c>
      <c r="U35">
        <v>37.113324932795692</v>
      </c>
      <c r="V35">
        <v>5</v>
      </c>
      <c r="W35">
        <f t="shared" si="6"/>
        <v>3.526105050673856</v>
      </c>
    </row>
    <row r="36" spans="7:23" x14ac:dyDescent="0.2">
      <c r="G36">
        <v>29</v>
      </c>
      <c r="H36">
        <v>468</v>
      </c>
      <c r="I36">
        <v>1</v>
      </c>
      <c r="J36">
        <f t="shared" si="1"/>
        <v>2.255366568914956</v>
      </c>
      <c r="K36">
        <f t="shared" si="2"/>
        <v>4.8191593352883673E-3</v>
      </c>
      <c r="L36">
        <f t="shared" si="3"/>
        <v>22.553665689149561</v>
      </c>
      <c r="M36">
        <f t="shared" si="4"/>
        <v>4.8191593352883672E-2</v>
      </c>
      <c r="P36">
        <v>9</v>
      </c>
      <c r="Q36">
        <f t="shared" si="5"/>
        <v>0.3</v>
      </c>
      <c r="R36">
        <f t="shared" si="0"/>
        <v>39.513266281769297</v>
      </c>
      <c r="U36">
        <v>38.313295607282491</v>
      </c>
      <c r="V36">
        <v>4</v>
      </c>
      <c r="W36">
        <f t="shared" si="6"/>
        <v>2.8094637546158845</v>
      </c>
    </row>
    <row r="37" spans="7:23" x14ac:dyDescent="0.2">
      <c r="G37">
        <v>30</v>
      </c>
      <c r="H37">
        <v>490</v>
      </c>
      <c r="I37">
        <v>2</v>
      </c>
      <c r="J37">
        <f t="shared" si="1"/>
        <v>2.3613880742913</v>
      </c>
      <c r="K37">
        <f t="shared" si="2"/>
        <v>9.6383186705767347E-3</v>
      </c>
      <c r="L37">
        <f t="shared" si="3"/>
        <v>23.613880742913</v>
      </c>
      <c r="M37">
        <f t="shared" si="4"/>
        <v>9.6383186705767343E-2</v>
      </c>
      <c r="P37">
        <v>10</v>
      </c>
      <c r="Q37">
        <f t="shared" si="5"/>
        <v>0.33333333333333331</v>
      </c>
      <c r="R37">
        <f t="shared" si="0"/>
        <v>40.713236956256097</v>
      </c>
      <c r="U37">
        <v>39.513266281769297</v>
      </c>
      <c r="V37">
        <v>1</v>
      </c>
      <c r="W37">
        <f t="shared" si="6"/>
        <v>2.1716777339350148</v>
      </c>
    </row>
    <row r="38" spans="7:23" x14ac:dyDescent="0.2">
      <c r="G38">
        <v>31</v>
      </c>
      <c r="H38">
        <v>600</v>
      </c>
      <c r="I38">
        <v>2</v>
      </c>
      <c r="J38">
        <f t="shared" si="1"/>
        <v>2.8914956011730206</v>
      </c>
      <c r="K38">
        <f t="shared" si="2"/>
        <v>9.6383186705767347E-3</v>
      </c>
      <c r="L38">
        <f t="shared" si="3"/>
        <v>28.914956011730204</v>
      </c>
      <c r="M38">
        <f t="shared" si="4"/>
        <v>9.6383186705767343E-2</v>
      </c>
      <c r="P38">
        <v>11</v>
      </c>
      <c r="Q38">
        <f t="shared" si="5"/>
        <v>0.36666666666666664</v>
      </c>
      <c r="R38">
        <f t="shared" si="0"/>
        <v>41.913207630742903</v>
      </c>
      <c r="U38">
        <v>40.713236956256097</v>
      </c>
      <c r="V38">
        <v>0</v>
      </c>
      <c r="W38">
        <f t="shared" si="6"/>
        <v>1.6285874427605647</v>
      </c>
    </row>
    <row r="39" spans="7:23" x14ac:dyDescent="0.2">
      <c r="G39">
        <v>32</v>
      </c>
      <c r="H39">
        <v>455</v>
      </c>
      <c r="I39">
        <v>2</v>
      </c>
      <c r="J39">
        <f t="shared" si="1"/>
        <v>2.1927174975562074</v>
      </c>
      <c r="K39">
        <f t="shared" si="2"/>
        <v>9.6383186705767347E-3</v>
      </c>
      <c r="L39">
        <f t="shared" si="3"/>
        <v>21.927174975562075</v>
      </c>
      <c r="M39">
        <f t="shared" si="4"/>
        <v>9.6383186705767343E-2</v>
      </c>
      <c r="P39">
        <v>12</v>
      </c>
      <c r="Q39">
        <f t="shared" si="5"/>
        <v>0.4</v>
      </c>
      <c r="R39">
        <f t="shared" si="0"/>
        <v>43.11317830522971</v>
      </c>
      <c r="U39">
        <v>41.913207630742903</v>
      </c>
      <c r="V39">
        <v>3</v>
      </c>
      <c r="W39">
        <f t="shared" si="6"/>
        <v>1.1848695627204144</v>
      </c>
    </row>
    <row r="40" spans="7:23" x14ac:dyDescent="0.2">
      <c r="G40">
        <v>33</v>
      </c>
      <c r="H40">
        <v>550</v>
      </c>
      <c r="I40">
        <v>2</v>
      </c>
      <c r="J40">
        <f t="shared" si="1"/>
        <v>2.650537634408602</v>
      </c>
      <c r="K40">
        <f t="shared" si="2"/>
        <v>9.6383186705767347E-3</v>
      </c>
      <c r="L40">
        <f t="shared" si="3"/>
        <v>26.50537634408602</v>
      </c>
      <c r="M40">
        <f t="shared" si="4"/>
        <v>9.6383186705767343E-2</v>
      </c>
      <c r="P40">
        <v>13</v>
      </c>
      <c r="Q40">
        <f t="shared" si="5"/>
        <v>0.43333333333333335</v>
      </c>
      <c r="R40">
        <f t="shared" si="0"/>
        <v>44.313148979716509</v>
      </c>
      <c r="U40">
        <v>43.11317830522971</v>
      </c>
      <c r="V40">
        <v>1</v>
      </c>
      <c r="W40">
        <f t="shared" si="6"/>
        <v>0.83632246550423139</v>
      </c>
    </row>
    <row r="41" spans="7:23" x14ac:dyDescent="0.2">
      <c r="G41">
        <v>34</v>
      </c>
      <c r="H41">
        <v>461</v>
      </c>
      <c r="I41">
        <v>2</v>
      </c>
      <c r="J41">
        <f t="shared" si="1"/>
        <v>2.2216324535679375</v>
      </c>
      <c r="K41">
        <f t="shared" si="2"/>
        <v>9.6383186705767347E-3</v>
      </c>
      <c r="L41">
        <f t="shared" si="3"/>
        <v>22.216324535679377</v>
      </c>
      <c r="M41">
        <f t="shared" si="4"/>
        <v>9.6383186705767343E-2</v>
      </c>
      <c r="P41">
        <v>14</v>
      </c>
      <c r="Q41">
        <f t="shared" si="5"/>
        <v>0.46666666666666667</v>
      </c>
      <c r="R41">
        <f t="shared" si="0"/>
        <v>45.513119654203315</v>
      </c>
      <c r="U41">
        <v>44.313148979716509</v>
      </c>
      <c r="V41">
        <v>1</v>
      </c>
      <c r="W41">
        <f t="shared" si="6"/>
        <v>0.57269150496382526</v>
      </c>
    </row>
    <row r="42" spans="7:23" x14ac:dyDescent="0.2">
      <c r="G42">
        <v>35</v>
      </c>
      <c r="H42">
        <v>474</v>
      </c>
      <c r="I42">
        <v>2</v>
      </c>
      <c r="J42">
        <f t="shared" si="1"/>
        <v>2.2842815249266861</v>
      </c>
      <c r="K42">
        <f t="shared" si="2"/>
        <v>9.6383186705767347E-3</v>
      </c>
      <c r="L42">
        <f t="shared" si="3"/>
        <v>22.842815249266863</v>
      </c>
      <c r="M42">
        <f t="shared" si="4"/>
        <v>9.6383186705767343E-2</v>
      </c>
      <c r="P42">
        <v>15</v>
      </c>
      <c r="Q42">
        <f t="shared" si="5"/>
        <v>0.5</v>
      </c>
      <c r="R42">
        <f t="shared" si="0"/>
        <v>46.713090328690114</v>
      </c>
      <c r="U42">
        <v>45.513119654203315</v>
      </c>
      <c r="V42">
        <v>1</v>
      </c>
      <c r="W42">
        <f t="shared" si="6"/>
        <v>0.38046216705311325</v>
      </c>
    </row>
    <row r="43" spans="7:23" x14ac:dyDescent="0.2">
      <c r="G43">
        <v>36</v>
      </c>
      <c r="H43">
        <v>566</v>
      </c>
      <c r="I43">
        <v>3</v>
      </c>
      <c r="J43">
        <f t="shared" si="1"/>
        <v>2.7276441837732155</v>
      </c>
      <c r="K43">
        <f t="shared" si="2"/>
        <v>1.4457478005865101E-2</v>
      </c>
      <c r="L43">
        <f t="shared" si="3"/>
        <v>27.276441837732154</v>
      </c>
      <c r="M43">
        <f t="shared" si="4"/>
        <v>0.14457478005865101</v>
      </c>
      <c r="P43">
        <v>16</v>
      </c>
      <c r="Q43">
        <f t="shared" si="5"/>
        <v>0.53333333333333333</v>
      </c>
      <c r="R43">
        <f t="shared" si="0"/>
        <v>47.913061003176921</v>
      </c>
      <c r="U43">
        <v>46.713090328690114</v>
      </c>
      <c r="V43">
        <v>0</v>
      </c>
      <c r="W43">
        <f t="shared" si="6"/>
        <v>0.24521440087078655</v>
      </c>
    </row>
    <row r="44" spans="7:23" x14ac:dyDescent="0.2">
      <c r="G44">
        <v>37</v>
      </c>
      <c r="H44">
        <v>507</v>
      </c>
      <c r="I44">
        <v>2</v>
      </c>
      <c r="J44">
        <f t="shared" si="1"/>
        <v>2.4433137829912019</v>
      </c>
      <c r="K44">
        <f t="shared" si="2"/>
        <v>9.6383186705767347E-3</v>
      </c>
      <c r="L44">
        <f t="shared" si="3"/>
        <v>24.43313782991202</v>
      </c>
      <c r="M44">
        <f t="shared" si="4"/>
        <v>9.6383186705767343E-2</v>
      </c>
      <c r="P44">
        <v>17</v>
      </c>
      <c r="Q44">
        <f t="shared" si="5"/>
        <v>0.56666666666666665</v>
      </c>
      <c r="R44">
        <f t="shared" si="0"/>
        <v>49.113031677663727</v>
      </c>
      <c r="U44">
        <v>47.913061003176921</v>
      </c>
      <c r="V44">
        <v>0</v>
      </c>
      <c r="W44">
        <f t="shared" si="6"/>
        <v>0.15332897215675512</v>
      </c>
    </row>
    <row r="45" spans="7:23" x14ac:dyDescent="0.2">
      <c r="G45">
        <v>38</v>
      </c>
      <c r="H45">
        <v>742</v>
      </c>
      <c r="I45">
        <v>3</v>
      </c>
      <c r="J45">
        <f t="shared" si="1"/>
        <v>3.5758162267839686</v>
      </c>
      <c r="K45">
        <f t="shared" si="2"/>
        <v>1.4457478005865101E-2</v>
      </c>
      <c r="L45">
        <f t="shared" si="3"/>
        <v>35.758162267839687</v>
      </c>
      <c r="M45">
        <f t="shared" si="4"/>
        <v>0.14457478005865101</v>
      </c>
      <c r="P45">
        <v>18</v>
      </c>
      <c r="Q45">
        <f t="shared" si="5"/>
        <v>0.6</v>
      </c>
      <c r="R45">
        <f t="shared" si="0"/>
        <v>50.313002352150527</v>
      </c>
      <c r="U45">
        <v>49.113031677663727</v>
      </c>
      <c r="V45">
        <v>1</v>
      </c>
      <c r="W45">
        <f t="shared" si="6"/>
        <v>9.3013553239161773E-2</v>
      </c>
    </row>
    <row r="46" spans="7:23" x14ac:dyDescent="0.2">
      <c r="G46">
        <v>39</v>
      </c>
      <c r="H46">
        <v>407</v>
      </c>
      <c r="I46">
        <v>2</v>
      </c>
      <c r="J46">
        <f t="shared" si="1"/>
        <v>1.9613978494623656</v>
      </c>
      <c r="K46">
        <f t="shared" si="2"/>
        <v>9.6383186705767347E-3</v>
      </c>
      <c r="L46">
        <f t="shared" si="3"/>
        <v>19.613978494623655</v>
      </c>
      <c r="M46">
        <f t="shared" si="4"/>
        <v>9.6383186705767343E-2</v>
      </c>
      <c r="P46">
        <v>19</v>
      </c>
      <c r="Q46">
        <f t="shared" si="5"/>
        <v>0.6333333333333333</v>
      </c>
      <c r="R46">
        <f t="shared" si="0"/>
        <v>51.512973026637333</v>
      </c>
      <c r="U46">
        <v>50.313002352150527</v>
      </c>
      <c r="V46">
        <v>2</v>
      </c>
      <c r="W46">
        <f t="shared" si="6"/>
        <v>5.4740908957060921E-2</v>
      </c>
    </row>
    <row r="47" spans="7:23" x14ac:dyDescent="0.2">
      <c r="G47">
        <v>40</v>
      </c>
      <c r="H47">
        <v>654</v>
      </c>
      <c r="I47">
        <v>6</v>
      </c>
      <c r="J47">
        <f t="shared" si="1"/>
        <v>3.151730205278592</v>
      </c>
      <c r="K47">
        <f t="shared" si="2"/>
        <v>2.8914956011730202E-2</v>
      </c>
      <c r="L47">
        <f t="shared" si="3"/>
        <v>31.517302052785922</v>
      </c>
      <c r="M47">
        <f t="shared" si="4"/>
        <v>0.28914956011730203</v>
      </c>
      <c r="P47">
        <v>20</v>
      </c>
      <c r="Q47">
        <f t="shared" si="5"/>
        <v>0.66666666666666663</v>
      </c>
      <c r="R47">
        <f t="shared" si="0"/>
        <v>52.712943701124132</v>
      </c>
      <c r="U47">
        <v>51.512973026637333</v>
      </c>
      <c r="V47">
        <v>0</v>
      </c>
      <c r="W47">
        <f>$V$2*1/($F$2*SQRT(2*PI()))*EXP(-0.5*((U47-$F$1)/$F$2)^2)</f>
        <v>3.1255145995294734E-2</v>
      </c>
    </row>
    <row r="48" spans="7:23" x14ac:dyDescent="0.2">
      <c r="G48">
        <v>41</v>
      </c>
      <c r="H48">
        <v>653</v>
      </c>
      <c r="I48">
        <v>6</v>
      </c>
      <c r="J48">
        <f t="shared" si="1"/>
        <v>3.1469110459433041</v>
      </c>
      <c r="K48">
        <f t="shared" si="2"/>
        <v>2.8914956011730202E-2</v>
      </c>
      <c r="L48">
        <f t="shared" si="3"/>
        <v>31.46911045943304</v>
      </c>
      <c r="M48">
        <f t="shared" si="4"/>
        <v>0.28914956011730203</v>
      </c>
      <c r="U48">
        <v>52.712943701124132</v>
      </c>
      <c r="V48">
        <v>0</v>
      </c>
      <c r="W48">
        <f>$V$2*1/($F$2*SQRT(2*PI()))*EXP(-0.5*((U48-$F$1)/$F$2)^2)</f>
        <v>1.7313099202534491E-2</v>
      </c>
    </row>
    <row r="49" spans="7:22" ht="17" thickBot="1" x14ac:dyDescent="0.25">
      <c r="G49">
        <v>42</v>
      </c>
      <c r="H49">
        <v>683</v>
      </c>
      <c r="I49">
        <v>4</v>
      </c>
      <c r="J49">
        <f t="shared" si="1"/>
        <v>3.2914858260019546</v>
      </c>
      <c r="K49">
        <f t="shared" si="2"/>
        <v>1.9276637341153469E-2</v>
      </c>
      <c r="L49">
        <f t="shared" si="3"/>
        <v>32.914858260019543</v>
      </c>
      <c r="M49">
        <f t="shared" si="4"/>
        <v>0.19276637341153469</v>
      </c>
      <c r="U49" s="1"/>
      <c r="V49" s="1"/>
    </row>
    <row r="50" spans="7:22" x14ac:dyDescent="0.2">
      <c r="G50">
        <v>43</v>
      </c>
      <c r="H50">
        <v>623</v>
      </c>
      <c r="I50">
        <v>0</v>
      </c>
      <c r="J50">
        <f t="shared" si="1"/>
        <v>3.0023362658846531</v>
      </c>
      <c r="K50">
        <f t="shared" si="2"/>
        <v>0</v>
      </c>
      <c r="L50">
        <f t="shared" si="3"/>
        <v>30.02336265884653</v>
      </c>
      <c r="M50">
        <f t="shared" si="4"/>
        <v>0</v>
      </c>
    </row>
    <row r="51" spans="7:22" x14ac:dyDescent="0.2">
      <c r="G51">
        <v>44</v>
      </c>
      <c r="H51">
        <v>445</v>
      </c>
      <c r="I51">
        <v>0</v>
      </c>
      <c r="J51">
        <f t="shared" si="1"/>
        <v>2.1445259042033236</v>
      </c>
      <c r="K51">
        <f t="shared" si="2"/>
        <v>0</v>
      </c>
      <c r="L51">
        <f t="shared" si="3"/>
        <v>21.445259042033236</v>
      </c>
      <c r="M51">
        <f t="shared" si="4"/>
        <v>0</v>
      </c>
    </row>
    <row r="52" spans="7:22" x14ac:dyDescent="0.2">
      <c r="G52">
        <v>45</v>
      </c>
      <c r="H52">
        <v>418</v>
      </c>
      <c r="I52">
        <v>2</v>
      </c>
      <c r="J52">
        <f t="shared" si="1"/>
        <v>2.0144086021505374</v>
      </c>
      <c r="K52">
        <f t="shared" si="2"/>
        <v>9.6383186705767347E-3</v>
      </c>
      <c r="L52">
        <f t="shared" si="3"/>
        <v>20.144086021505373</v>
      </c>
      <c r="M52">
        <f t="shared" si="4"/>
        <v>9.6383186705767343E-2</v>
      </c>
    </row>
    <row r="53" spans="7:22" x14ac:dyDescent="0.2">
      <c r="G53">
        <v>46</v>
      </c>
      <c r="H53">
        <v>470</v>
      </c>
      <c r="I53">
        <v>0</v>
      </c>
      <c r="J53">
        <f t="shared" si="1"/>
        <v>2.2650048875855329</v>
      </c>
      <c r="K53">
        <f t="shared" si="2"/>
        <v>0</v>
      </c>
      <c r="L53">
        <f t="shared" si="3"/>
        <v>22.65004887585533</v>
      </c>
      <c r="M53">
        <f t="shared" si="4"/>
        <v>0</v>
      </c>
    </row>
    <row r="54" spans="7:22" x14ac:dyDescent="0.2">
      <c r="G54">
        <v>47</v>
      </c>
      <c r="H54">
        <v>386</v>
      </c>
      <c r="I54">
        <v>0</v>
      </c>
      <c r="J54">
        <f t="shared" si="1"/>
        <v>1.8601955034213096</v>
      </c>
      <c r="K54">
        <f t="shared" si="2"/>
        <v>0</v>
      </c>
      <c r="L54">
        <f t="shared" si="3"/>
        <v>18.601955034213095</v>
      </c>
      <c r="M54">
        <f t="shared" si="4"/>
        <v>0</v>
      </c>
    </row>
    <row r="55" spans="7:22" x14ac:dyDescent="0.2">
      <c r="G55">
        <v>48</v>
      </c>
      <c r="H55">
        <v>659</v>
      </c>
      <c r="I55">
        <v>5</v>
      </c>
      <c r="J55">
        <f t="shared" si="1"/>
        <v>3.1758260019550342</v>
      </c>
      <c r="K55">
        <f t="shared" si="2"/>
        <v>2.4095796676441836E-2</v>
      </c>
      <c r="L55">
        <f t="shared" si="3"/>
        <v>31.758260019550342</v>
      </c>
      <c r="M55">
        <f t="shared" si="4"/>
        <v>0.24095796676441836</v>
      </c>
    </row>
    <row r="56" spans="7:22" x14ac:dyDescent="0.2">
      <c r="G56">
        <v>49</v>
      </c>
      <c r="H56">
        <v>656</v>
      </c>
      <c r="I56">
        <v>1</v>
      </c>
      <c r="J56">
        <f t="shared" si="1"/>
        <v>3.1613685239491689</v>
      </c>
      <c r="K56">
        <f t="shared" si="2"/>
        <v>4.8191593352883673E-3</v>
      </c>
      <c r="L56">
        <f t="shared" si="3"/>
        <v>31.613685239491687</v>
      </c>
      <c r="M56">
        <f t="shared" si="4"/>
        <v>4.8191593352883672E-2</v>
      </c>
    </row>
    <row r="57" spans="7:22" x14ac:dyDescent="0.2">
      <c r="G57">
        <v>50</v>
      </c>
      <c r="H57">
        <v>685</v>
      </c>
      <c r="I57">
        <v>2</v>
      </c>
      <c r="J57">
        <f t="shared" si="1"/>
        <v>3.3011241446725315</v>
      </c>
      <c r="K57">
        <f t="shared" si="2"/>
        <v>9.6383186705767347E-3</v>
      </c>
      <c r="L57">
        <f t="shared" si="3"/>
        <v>33.011241446725315</v>
      </c>
      <c r="M57">
        <f t="shared" si="4"/>
        <v>9.6383186705767343E-2</v>
      </c>
    </row>
    <row r="58" spans="7:22" x14ac:dyDescent="0.2">
      <c r="G58">
        <v>51</v>
      </c>
      <c r="H58">
        <v>558</v>
      </c>
      <c r="I58">
        <v>1</v>
      </c>
      <c r="J58">
        <f t="shared" si="1"/>
        <v>2.689090909090909</v>
      </c>
      <c r="K58">
        <f t="shared" si="2"/>
        <v>4.8191593352883673E-3</v>
      </c>
      <c r="L58">
        <f t="shared" si="3"/>
        <v>26.890909090909091</v>
      </c>
      <c r="M58">
        <f t="shared" si="4"/>
        <v>4.8191593352883672E-2</v>
      </c>
    </row>
    <row r="59" spans="7:22" x14ac:dyDescent="0.2">
      <c r="G59">
        <v>52</v>
      </c>
      <c r="H59">
        <v>637</v>
      </c>
      <c r="I59">
        <v>3</v>
      </c>
      <c r="J59">
        <f t="shared" si="1"/>
        <v>3.0698044965786901</v>
      </c>
      <c r="K59">
        <f t="shared" si="2"/>
        <v>1.4457478005865101E-2</v>
      </c>
      <c r="L59">
        <f t="shared" si="3"/>
        <v>30.698044965786902</v>
      </c>
      <c r="M59">
        <f t="shared" si="4"/>
        <v>0.14457478005865101</v>
      </c>
    </row>
    <row r="60" spans="7:22" x14ac:dyDescent="0.2">
      <c r="G60">
        <v>53</v>
      </c>
      <c r="H60">
        <v>535</v>
      </c>
      <c r="I60">
        <v>4</v>
      </c>
      <c r="J60">
        <f t="shared" si="1"/>
        <v>2.5782502443792765</v>
      </c>
      <c r="K60">
        <f t="shared" si="2"/>
        <v>1.9276637341153469E-2</v>
      </c>
      <c r="L60">
        <f t="shared" si="3"/>
        <v>25.782502443792765</v>
      </c>
      <c r="M60">
        <f t="shared" si="4"/>
        <v>0.19276637341153469</v>
      </c>
    </row>
    <row r="61" spans="7:22" x14ac:dyDescent="0.2">
      <c r="G61">
        <v>54</v>
      </c>
      <c r="H61">
        <v>614</v>
      </c>
      <c r="I61">
        <v>1</v>
      </c>
      <c r="J61">
        <f t="shared" si="1"/>
        <v>2.9589638318670577</v>
      </c>
      <c r="K61">
        <f t="shared" si="2"/>
        <v>4.8191593352883673E-3</v>
      </c>
      <c r="L61">
        <f t="shared" si="3"/>
        <v>29.589638318670577</v>
      </c>
      <c r="M61">
        <f t="shared" si="4"/>
        <v>4.8191593352883672E-2</v>
      </c>
    </row>
    <row r="62" spans="7:22" x14ac:dyDescent="0.2">
      <c r="G62">
        <v>55</v>
      </c>
      <c r="H62">
        <v>670</v>
      </c>
      <c r="I62">
        <v>1</v>
      </c>
      <c r="J62">
        <f t="shared" si="1"/>
        <v>3.228836754643206</v>
      </c>
      <c r="K62">
        <f t="shared" si="2"/>
        <v>4.8191593352883673E-3</v>
      </c>
      <c r="L62">
        <f t="shared" si="3"/>
        <v>32.288367546432056</v>
      </c>
      <c r="M62">
        <f t="shared" si="4"/>
        <v>4.8191593352883672E-2</v>
      </c>
    </row>
    <row r="63" spans="7:22" x14ac:dyDescent="0.2">
      <c r="G63">
        <v>56</v>
      </c>
      <c r="H63">
        <v>549</v>
      </c>
      <c r="I63">
        <v>3</v>
      </c>
      <c r="J63">
        <f t="shared" si="1"/>
        <v>2.6457184750733136</v>
      </c>
      <c r="K63">
        <f t="shared" si="2"/>
        <v>1.4457478005865101E-2</v>
      </c>
      <c r="L63">
        <f t="shared" si="3"/>
        <v>26.457184750733134</v>
      </c>
      <c r="M63">
        <f t="shared" si="4"/>
        <v>0.14457478005865101</v>
      </c>
    </row>
    <row r="64" spans="7:22" x14ac:dyDescent="0.2">
      <c r="G64">
        <v>57</v>
      </c>
      <c r="H64">
        <v>536</v>
      </c>
      <c r="I64">
        <v>2</v>
      </c>
      <c r="J64">
        <f t="shared" si="1"/>
        <v>2.5830694037145649</v>
      </c>
      <c r="K64">
        <f t="shared" si="2"/>
        <v>9.6383186705767347E-3</v>
      </c>
      <c r="L64">
        <f t="shared" si="3"/>
        <v>25.830694037145648</v>
      </c>
      <c r="M64">
        <f t="shared" si="4"/>
        <v>9.6383186705767343E-2</v>
      </c>
    </row>
    <row r="65" spans="7:13" x14ac:dyDescent="0.2">
      <c r="G65">
        <v>58</v>
      </c>
      <c r="H65">
        <v>385</v>
      </c>
      <c r="I65">
        <v>1</v>
      </c>
      <c r="J65">
        <f t="shared" si="1"/>
        <v>1.8553763440860214</v>
      </c>
      <c r="K65">
        <f t="shared" si="2"/>
        <v>4.8191593352883673E-3</v>
      </c>
      <c r="L65">
        <f t="shared" si="3"/>
        <v>18.553763440860212</v>
      </c>
      <c r="M65">
        <f t="shared" si="4"/>
        <v>4.8191593352883672E-2</v>
      </c>
    </row>
    <row r="66" spans="7:13" x14ac:dyDescent="0.2">
      <c r="G66">
        <v>59</v>
      </c>
      <c r="H66">
        <v>394</v>
      </c>
      <c r="I66">
        <v>2</v>
      </c>
      <c r="J66">
        <f t="shared" si="1"/>
        <v>1.8987487781036168</v>
      </c>
      <c r="K66">
        <f t="shared" si="2"/>
        <v>9.6383186705767347E-3</v>
      </c>
      <c r="L66">
        <f t="shared" si="3"/>
        <v>18.987487781036169</v>
      </c>
      <c r="M66">
        <f t="shared" si="4"/>
        <v>9.6383186705767343E-2</v>
      </c>
    </row>
    <row r="67" spans="7:13" x14ac:dyDescent="0.2">
      <c r="G67">
        <v>60</v>
      </c>
      <c r="H67">
        <v>573</v>
      </c>
      <c r="I67">
        <v>3</v>
      </c>
      <c r="J67">
        <f t="shared" si="1"/>
        <v>2.7613782991202345</v>
      </c>
      <c r="K67">
        <f t="shared" si="2"/>
        <v>1.4457478005865101E-2</v>
      </c>
      <c r="L67">
        <f t="shared" si="3"/>
        <v>27.613782991202346</v>
      </c>
      <c r="M67">
        <f t="shared" si="4"/>
        <v>0.14457478005865101</v>
      </c>
    </row>
    <row r="68" spans="7:13" x14ac:dyDescent="0.2">
      <c r="G68">
        <v>61</v>
      </c>
      <c r="H68">
        <v>626</v>
      </c>
      <c r="I68">
        <v>2</v>
      </c>
      <c r="J68">
        <f t="shared" si="1"/>
        <v>3.0167937438905179</v>
      </c>
      <c r="K68">
        <f t="shared" si="2"/>
        <v>9.6383186705767347E-3</v>
      </c>
      <c r="L68">
        <f t="shared" si="3"/>
        <v>30.167937438905177</v>
      </c>
      <c r="M68">
        <f t="shared" si="4"/>
        <v>9.6383186705767343E-2</v>
      </c>
    </row>
    <row r="69" spans="7:13" x14ac:dyDescent="0.2">
      <c r="G69">
        <v>62</v>
      </c>
      <c r="H69">
        <v>612</v>
      </c>
      <c r="I69">
        <v>1</v>
      </c>
      <c r="J69">
        <f t="shared" si="1"/>
        <v>2.9493255131964808</v>
      </c>
      <c r="K69">
        <f t="shared" si="2"/>
        <v>4.8191593352883673E-3</v>
      </c>
      <c r="L69">
        <f t="shared" si="3"/>
        <v>29.493255131964808</v>
      </c>
      <c r="M69">
        <f t="shared" si="4"/>
        <v>4.8191593352883672E-2</v>
      </c>
    </row>
    <row r="70" spans="7:13" x14ac:dyDescent="0.2">
      <c r="G70">
        <v>63</v>
      </c>
      <c r="H70">
        <v>437</v>
      </c>
      <c r="I70">
        <v>1</v>
      </c>
      <c r="J70">
        <f t="shared" si="1"/>
        <v>2.1059726295210166</v>
      </c>
      <c r="K70">
        <f t="shared" si="2"/>
        <v>4.8191593352883673E-3</v>
      </c>
      <c r="L70">
        <f t="shared" si="3"/>
        <v>21.059726295210165</v>
      </c>
      <c r="M70">
        <f t="shared" si="4"/>
        <v>4.8191593352883672E-2</v>
      </c>
    </row>
    <row r="71" spans="7:13" x14ac:dyDescent="0.2">
      <c r="G71">
        <v>64</v>
      </c>
      <c r="H71">
        <v>569</v>
      </c>
      <c r="J71">
        <f t="shared" si="1"/>
        <v>2.7421016617790808</v>
      </c>
      <c r="L71">
        <f t="shared" si="3"/>
        <v>27.421016617790809</v>
      </c>
    </row>
    <row r="72" spans="7:13" x14ac:dyDescent="0.2">
      <c r="G72">
        <v>65</v>
      </c>
      <c r="H72">
        <v>534</v>
      </c>
      <c r="J72">
        <f t="shared" ref="J72:J134" si="7">H72*4.93/1023</f>
        <v>2.5734310850439881</v>
      </c>
      <c r="L72">
        <f t="shared" ref="L72:L134" si="8">J72*10</f>
        <v>25.734310850439883</v>
      </c>
    </row>
    <row r="73" spans="7:13" x14ac:dyDescent="0.2">
      <c r="G73">
        <v>66</v>
      </c>
      <c r="H73">
        <v>505</v>
      </c>
      <c r="J73">
        <f t="shared" si="7"/>
        <v>2.4336754643206251</v>
      </c>
      <c r="L73">
        <f t="shared" si="8"/>
        <v>24.336754643206252</v>
      </c>
    </row>
    <row r="74" spans="7:13" x14ac:dyDescent="0.2">
      <c r="G74">
        <v>67</v>
      </c>
      <c r="H74">
        <v>554</v>
      </c>
      <c r="J74">
        <f t="shared" si="7"/>
        <v>2.6698142717497553</v>
      </c>
      <c r="L74">
        <f t="shared" si="8"/>
        <v>26.698142717497554</v>
      </c>
    </row>
    <row r="75" spans="7:13" x14ac:dyDescent="0.2">
      <c r="G75">
        <v>68</v>
      </c>
      <c r="H75">
        <v>645</v>
      </c>
      <c r="J75">
        <f t="shared" si="7"/>
        <v>3.1083577712609971</v>
      </c>
      <c r="L75">
        <f t="shared" si="8"/>
        <v>31.083577712609973</v>
      </c>
    </row>
    <row r="76" spans="7:13" x14ac:dyDescent="0.2">
      <c r="G76">
        <v>69</v>
      </c>
      <c r="H76">
        <v>565</v>
      </c>
      <c r="J76">
        <f t="shared" si="7"/>
        <v>2.7228250244379275</v>
      </c>
      <c r="L76">
        <f t="shared" si="8"/>
        <v>27.228250244379275</v>
      </c>
    </row>
    <row r="77" spans="7:13" x14ac:dyDescent="0.2">
      <c r="G77">
        <v>70</v>
      </c>
      <c r="H77">
        <v>809</v>
      </c>
      <c r="J77">
        <f t="shared" si="7"/>
        <v>3.8986999022482891</v>
      </c>
      <c r="L77">
        <f t="shared" si="8"/>
        <v>38.986999022482891</v>
      </c>
    </row>
    <row r="78" spans="7:13" x14ac:dyDescent="0.2">
      <c r="G78">
        <v>71</v>
      </c>
      <c r="H78">
        <v>590</v>
      </c>
      <c r="J78">
        <f t="shared" si="7"/>
        <v>2.8433040078201368</v>
      </c>
      <c r="L78">
        <f t="shared" si="8"/>
        <v>28.433040078201369</v>
      </c>
    </row>
    <row r="79" spans="7:13" x14ac:dyDescent="0.2">
      <c r="G79">
        <v>72</v>
      </c>
      <c r="H79">
        <v>632</v>
      </c>
      <c r="J79">
        <f t="shared" si="7"/>
        <v>3.045708699902248</v>
      </c>
      <c r="L79">
        <f t="shared" si="8"/>
        <v>30.457086999022479</v>
      </c>
    </row>
    <row r="80" spans="7:13" x14ac:dyDescent="0.2">
      <c r="G80">
        <v>73</v>
      </c>
      <c r="H80">
        <v>543</v>
      </c>
      <c r="J80">
        <f t="shared" si="7"/>
        <v>2.6168035190615835</v>
      </c>
      <c r="L80">
        <f t="shared" si="8"/>
        <v>26.168035190615836</v>
      </c>
    </row>
    <row r="81" spans="7:12" x14ac:dyDescent="0.2">
      <c r="G81">
        <v>74</v>
      </c>
      <c r="H81">
        <v>633</v>
      </c>
      <c r="J81">
        <f t="shared" si="7"/>
        <v>3.0505278592375364</v>
      </c>
      <c r="L81">
        <f t="shared" si="8"/>
        <v>30.505278592375365</v>
      </c>
    </row>
    <row r="82" spans="7:12" x14ac:dyDescent="0.2">
      <c r="G82">
        <v>75</v>
      </c>
      <c r="H82">
        <v>509</v>
      </c>
      <c r="J82">
        <f t="shared" si="7"/>
        <v>2.4529521016617788</v>
      </c>
      <c r="L82">
        <f t="shared" si="8"/>
        <v>24.529521016617789</v>
      </c>
    </row>
    <row r="83" spans="7:12" x14ac:dyDescent="0.2">
      <c r="G83">
        <v>76</v>
      </c>
      <c r="H83">
        <v>334</v>
      </c>
      <c r="J83">
        <f t="shared" si="7"/>
        <v>1.6095992179863146</v>
      </c>
      <c r="L83">
        <f t="shared" si="8"/>
        <v>16.095992179863146</v>
      </c>
    </row>
    <row r="84" spans="7:12" x14ac:dyDescent="0.2">
      <c r="G84">
        <v>77</v>
      </c>
      <c r="H84">
        <v>338</v>
      </c>
      <c r="J84">
        <f t="shared" si="7"/>
        <v>1.6288758553274683</v>
      </c>
      <c r="L84">
        <f t="shared" si="8"/>
        <v>16.288758553274683</v>
      </c>
    </row>
    <row r="85" spans="7:12" x14ac:dyDescent="0.2">
      <c r="G85">
        <v>78</v>
      </c>
      <c r="H85">
        <v>507</v>
      </c>
      <c r="J85">
        <f t="shared" si="7"/>
        <v>2.4433137829912019</v>
      </c>
      <c r="L85">
        <f t="shared" si="8"/>
        <v>24.43313782991202</v>
      </c>
    </row>
    <row r="86" spans="7:12" x14ac:dyDescent="0.2">
      <c r="G86">
        <v>79</v>
      </c>
      <c r="H86">
        <v>367</v>
      </c>
      <c r="J86">
        <f t="shared" si="7"/>
        <v>1.7686314760508308</v>
      </c>
      <c r="L86">
        <f t="shared" si="8"/>
        <v>17.68631476050831</v>
      </c>
    </row>
    <row r="87" spans="7:12" x14ac:dyDescent="0.2">
      <c r="G87">
        <v>80</v>
      </c>
      <c r="H87">
        <v>741</v>
      </c>
      <c r="J87">
        <f t="shared" si="7"/>
        <v>3.5709970674486802</v>
      </c>
      <c r="L87">
        <f t="shared" si="8"/>
        <v>35.709970674486804</v>
      </c>
    </row>
    <row r="88" spans="7:12" x14ac:dyDescent="0.2">
      <c r="G88">
        <v>81</v>
      </c>
      <c r="H88">
        <v>587</v>
      </c>
      <c r="J88">
        <f t="shared" si="7"/>
        <v>2.8288465298142715</v>
      </c>
      <c r="L88">
        <f t="shared" si="8"/>
        <v>28.288465298142714</v>
      </c>
    </row>
    <row r="89" spans="7:12" x14ac:dyDescent="0.2">
      <c r="G89">
        <v>82</v>
      </c>
      <c r="H89">
        <v>866</v>
      </c>
      <c r="J89">
        <f t="shared" si="7"/>
        <v>4.1733919843597267</v>
      </c>
      <c r="L89">
        <f t="shared" si="8"/>
        <v>41.733919843597263</v>
      </c>
    </row>
    <row r="90" spans="7:12" x14ac:dyDescent="0.2">
      <c r="G90">
        <v>83</v>
      </c>
      <c r="H90">
        <v>446</v>
      </c>
      <c r="J90">
        <f t="shared" si="7"/>
        <v>2.1493450635386115</v>
      </c>
      <c r="L90">
        <f t="shared" si="8"/>
        <v>21.493450635386115</v>
      </c>
    </row>
    <row r="91" spans="7:12" x14ac:dyDescent="0.2">
      <c r="G91">
        <v>84</v>
      </c>
      <c r="H91">
        <v>590</v>
      </c>
      <c r="J91">
        <f t="shared" si="7"/>
        <v>2.8433040078201368</v>
      </c>
      <c r="L91">
        <f t="shared" si="8"/>
        <v>28.433040078201369</v>
      </c>
    </row>
    <row r="92" spans="7:12" x14ac:dyDescent="0.2">
      <c r="G92">
        <v>85</v>
      </c>
      <c r="H92">
        <v>523</v>
      </c>
      <c r="J92">
        <f t="shared" si="7"/>
        <v>2.5204203323558163</v>
      </c>
      <c r="L92">
        <f t="shared" si="8"/>
        <v>25.204203323558161</v>
      </c>
    </row>
    <row r="93" spans="7:12" x14ac:dyDescent="0.2">
      <c r="G93">
        <v>86</v>
      </c>
      <c r="H93">
        <v>657</v>
      </c>
      <c r="J93">
        <f t="shared" si="7"/>
        <v>3.1661876832844573</v>
      </c>
      <c r="L93">
        <f t="shared" si="8"/>
        <v>31.661876832844573</v>
      </c>
    </row>
    <row r="94" spans="7:12" x14ac:dyDescent="0.2">
      <c r="G94">
        <v>87</v>
      </c>
      <c r="H94">
        <v>576</v>
      </c>
      <c r="J94">
        <f t="shared" si="7"/>
        <v>2.7758357771260997</v>
      </c>
      <c r="L94">
        <f t="shared" si="8"/>
        <v>27.758357771260997</v>
      </c>
    </row>
    <row r="95" spans="7:12" x14ac:dyDescent="0.2">
      <c r="G95">
        <v>88</v>
      </c>
      <c r="H95">
        <v>675</v>
      </c>
      <c r="J95">
        <f t="shared" si="7"/>
        <v>3.2529325513196481</v>
      </c>
      <c r="L95">
        <f t="shared" si="8"/>
        <v>32.529325513196483</v>
      </c>
    </row>
    <row r="96" spans="7:12" x14ac:dyDescent="0.2">
      <c r="G96">
        <v>89</v>
      </c>
      <c r="H96">
        <v>609</v>
      </c>
      <c r="J96">
        <f t="shared" si="7"/>
        <v>2.9348680351906156</v>
      </c>
      <c r="L96">
        <f t="shared" si="8"/>
        <v>29.348680351906154</v>
      </c>
    </row>
    <row r="97" spans="7:12" x14ac:dyDescent="0.2">
      <c r="G97">
        <v>90</v>
      </c>
      <c r="H97">
        <v>644</v>
      </c>
      <c r="J97">
        <f t="shared" si="7"/>
        <v>3.1035386119257082</v>
      </c>
      <c r="L97">
        <f t="shared" si="8"/>
        <v>31.035386119257083</v>
      </c>
    </row>
    <row r="98" spans="7:12" x14ac:dyDescent="0.2">
      <c r="G98">
        <v>91</v>
      </c>
      <c r="H98">
        <v>585</v>
      </c>
      <c r="J98">
        <f t="shared" si="7"/>
        <v>2.8192082111436947</v>
      </c>
      <c r="L98">
        <f t="shared" si="8"/>
        <v>28.192082111436946</v>
      </c>
    </row>
    <row r="99" spans="7:12" x14ac:dyDescent="0.2">
      <c r="G99">
        <v>92</v>
      </c>
      <c r="H99">
        <v>530</v>
      </c>
      <c r="J99">
        <f t="shared" si="7"/>
        <v>2.5541544477028344</v>
      </c>
      <c r="L99">
        <f t="shared" si="8"/>
        <v>25.541544477028346</v>
      </c>
    </row>
    <row r="100" spans="7:12" x14ac:dyDescent="0.2">
      <c r="G100">
        <v>93</v>
      </c>
      <c r="H100">
        <v>598</v>
      </c>
      <c r="J100">
        <f t="shared" si="7"/>
        <v>2.8818572825024438</v>
      </c>
      <c r="L100">
        <f t="shared" si="8"/>
        <v>28.81857282502444</v>
      </c>
    </row>
    <row r="101" spans="7:12" x14ac:dyDescent="0.2">
      <c r="G101">
        <v>94</v>
      </c>
      <c r="H101">
        <v>537</v>
      </c>
      <c r="J101">
        <f t="shared" si="7"/>
        <v>2.5878885630498534</v>
      </c>
      <c r="L101">
        <f t="shared" si="8"/>
        <v>25.878885630498534</v>
      </c>
    </row>
    <row r="102" spans="7:12" x14ac:dyDescent="0.2">
      <c r="G102">
        <v>95</v>
      </c>
      <c r="H102">
        <v>474</v>
      </c>
      <c r="J102">
        <f t="shared" si="7"/>
        <v>2.2842815249266861</v>
      </c>
      <c r="L102">
        <f t="shared" si="8"/>
        <v>22.842815249266863</v>
      </c>
    </row>
    <row r="103" spans="7:12" x14ac:dyDescent="0.2">
      <c r="G103">
        <v>96</v>
      </c>
      <c r="H103">
        <v>768</v>
      </c>
      <c r="J103">
        <f t="shared" si="7"/>
        <v>3.7011143695014659</v>
      </c>
      <c r="L103">
        <f t="shared" si="8"/>
        <v>37.01114369501466</v>
      </c>
    </row>
    <row r="104" spans="7:12" x14ac:dyDescent="0.2">
      <c r="G104">
        <v>97</v>
      </c>
      <c r="H104">
        <v>528</v>
      </c>
      <c r="J104">
        <f t="shared" si="7"/>
        <v>2.544516129032258</v>
      </c>
      <c r="L104">
        <f t="shared" si="8"/>
        <v>25.445161290322581</v>
      </c>
    </row>
    <row r="105" spans="7:12" x14ac:dyDescent="0.2">
      <c r="G105">
        <v>98</v>
      </c>
      <c r="H105">
        <v>739</v>
      </c>
      <c r="J105">
        <f t="shared" si="7"/>
        <v>3.5613587487781038</v>
      </c>
      <c r="L105">
        <f t="shared" si="8"/>
        <v>35.613587487781039</v>
      </c>
    </row>
    <row r="106" spans="7:12" x14ac:dyDescent="0.2">
      <c r="G106">
        <v>99</v>
      </c>
      <c r="H106">
        <v>529</v>
      </c>
      <c r="J106">
        <f t="shared" si="7"/>
        <v>2.5493352883675464</v>
      </c>
      <c r="L106">
        <f t="shared" si="8"/>
        <v>25.493352883675463</v>
      </c>
    </row>
    <row r="107" spans="7:12" x14ac:dyDescent="0.2">
      <c r="G107">
        <v>100</v>
      </c>
      <c r="H107">
        <v>748</v>
      </c>
      <c r="J107">
        <f t="shared" si="7"/>
        <v>3.6047311827956987</v>
      </c>
      <c r="L107">
        <f t="shared" si="8"/>
        <v>36.047311827956989</v>
      </c>
    </row>
    <row r="108" spans="7:12" x14ac:dyDescent="0.2">
      <c r="G108">
        <v>101</v>
      </c>
      <c r="H108">
        <v>410</v>
      </c>
      <c r="J108">
        <f t="shared" si="7"/>
        <v>1.9758553274682307</v>
      </c>
      <c r="L108">
        <f t="shared" si="8"/>
        <v>19.758553274682306</v>
      </c>
    </row>
    <row r="109" spans="7:12" x14ac:dyDescent="0.2">
      <c r="G109">
        <v>102</v>
      </c>
      <c r="H109">
        <v>910</v>
      </c>
      <c r="J109">
        <f t="shared" si="7"/>
        <v>4.3854349951124147</v>
      </c>
      <c r="L109">
        <f t="shared" si="8"/>
        <v>43.854349951124149</v>
      </c>
    </row>
    <row r="110" spans="7:12" x14ac:dyDescent="0.2">
      <c r="G110">
        <v>103</v>
      </c>
      <c r="H110">
        <v>755</v>
      </c>
      <c r="J110">
        <f t="shared" si="7"/>
        <v>3.6384652981427172</v>
      </c>
      <c r="L110">
        <f t="shared" si="8"/>
        <v>36.384652981427173</v>
      </c>
    </row>
    <row r="111" spans="7:12" x14ac:dyDescent="0.2">
      <c r="G111">
        <v>104</v>
      </c>
      <c r="H111">
        <v>777</v>
      </c>
      <c r="J111">
        <f t="shared" si="7"/>
        <v>3.7444868035190613</v>
      </c>
      <c r="L111">
        <f t="shared" si="8"/>
        <v>37.444868035190609</v>
      </c>
    </row>
    <row r="112" spans="7:12" x14ac:dyDescent="0.2">
      <c r="G112">
        <v>105</v>
      </c>
      <c r="H112">
        <v>430</v>
      </c>
      <c r="J112">
        <f t="shared" si="7"/>
        <v>2.0722385141739981</v>
      </c>
      <c r="L112">
        <f t="shared" si="8"/>
        <v>20.722385141739981</v>
      </c>
    </row>
    <row r="113" spans="7:12" x14ac:dyDescent="0.2">
      <c r="G113">
        <v>106</v>
      </c>
      <c r="H113">
        <v>520</v>
      </c>
      <c r="J113">
        <f t="shared" si="7"/>
        <v>2.505962854349951</v>
      </c>
      <c r="L113">
        <f t="shared" si="8"/>
        <v>25.05962854349951</v>
      </c>
    </row>
    <row r="114" spans="7:12" x14ac:dyDescent="0.2">
      <c r="G114">
        <v>107</v>
      </c>
      <c r="H114">
        <v>574</v>
      </c>
      <c r="J114">
        <f t="shared" si="7"/>
        <v>2.7661974584555229</v>
      </c>
      <c r="L114">
        <f t="shared" si="8"/>
        <v>27.661974584555228</v>
      </c>
    </row>
    <row r="115" spans="7:12" x14ac:dyDescent="0.2">
      <c r="G115">
        <v>108</v>
      </c>
      <c r="H115">
        <v>763</v>
      </c>
      <c r="J115">
        <f t="shared" si="7"/>
        <v>3.6770185728250242</v>
      </c>
      <c r="L115">
        <f t="shared" si="8"/>
        <v>36.77018572825024</v>
      </c>
    </row>
    <row r="116" spans="7:12" x14ac:dyDescent="0.2">
      <c r="G116">
        <v>109</v>
      </c>
      <c r="H116">
        <v>427</v>
      </c>
      <c r="J116">
        <f t="shared" si="7"/>
        <v>2.0577810361681328</v>
      </c>
      <c r="L116">
        <f t="shared" si="8"/>
        <v>20.57781036168133</v>
      </c>
    </row>
    <row r="117" spans="7:12" x14ac:dyDescent="0.2">
      <c r="G117">
        <v>110</v>
      </c>
      <c r="H117">
        <v>398</v>
      </c>
      <c r="J117">
        <f t="shared" si="7"/>
        <v>1.9180254154447702</v>
      </c>
      <c r="L117">
        <f t="shared" si="8"/>
        <v>19.180254154447702</v>
      </c>
    </row>
    <row r="118" spans="7:12" x14ac:dyDescent="0.2">
      <c r="G118">
        <v>111</v>
      </c>
      <c r="H118">
        <v>464</v>
      </c>
      <c r="J118">
        <f t="shared" si="7"/>
        <v>2.2360899315738023</v>
      </c>
      <c r="L118">
        <f t="shared" si="8"/>
        <v>22.360899315738024</v>
      </c>
    </row>
    <row r="119" spans="7:12" x14ac:dyDescent="0.2">
      <c r="G119">
        <v>112</v>
      </c>
      <c r="H119">
        <v>1006</v>
      </c>
      <c r="J119">
        <f t="shared" si="7"/>
        <v>4.8480742913000974</v>
      </c>
      <c r="L119">
        <f t="shared" si="8"/>
        <v>48.480742913000974</v>
      </c>
    </row>
    <row r="120" spans="7:12" x14ac:dyDescent="0.2">
      <c r="G120">
        <v>113</v>
      </c>
      <c r="H120">
        <v>459</v>
      </c>
      <c r="J120">
        <f t="shared" si="7"/>
        <v>2.2119941348973606</v>
      </c>
      <c r="L120">
        <f t="shared" si="8"/>
        <v>22.119941348973605</v>
      </c>
    </row>
    <row r="121" spans="7:12" x14ac:dyDescent="0.2">
      <c r="G121">
        <v>114</v>
      </c>
      <c r="H121">
        <v>927</v>
      </c>
      <c r="J121">
        <f t="shared" si="7"/>
        <v>4.4673607038123162</v>
      </c>
      <c r="L121">
        <f t="shared" si="8"/>
        <v>44.673607038123166</v>
      </c>
    </row>
    <row r="122" spans="7:12" x14ac:dyDescent="0.2">
      <c r="G122">
        <v>115</v>
      </c>
      <c r="H122">
        <v>510</v>
      </c>
      <c r="J122">
        <f t="shared" si="7"/>
        <v>2.4577712609970672</v>
      </c>
      <c r="L122">
        <f t="shared" si="8"/>
        <v>24.577712609970671</v>
      </c>
    </row>
    <row r="123" spans="7:12" x14ac:dyDescent="0.2">
      <c r="G123">
        <v>116</v>
      </c>
      <c r="H123">
        <v>784</v>
      </c>
      <c r="J123">
        <f t="shared" si="7"/>
        <v>3.7782209188660802</v>
      </c>
      <c r="L123">
        <f t="shared" si="8"/>
        <v>37.782209188660801</v>
      </c>
    </row>
    <row r="124" spans="7:12" x14ac:dyDescent="0.2">
      <c r="G124">
        <v>117</v>
      </c>
      <c r="H124">
        <v>438</v>
      </c>
      <c r="J124">
        <f t="shared" si="7"/>
        <v>2.1107917888563046</v>
      </c>
      <c r="L124">
        <f t="shared" si="8"/>
        <v>21.107917888563044</v>
      </c>
    </row>
    <row r="125" spans="7:12" x14ac:dyDescent="0.2">
      <c r="G125">
        <v>118</v>
      </c>
      <c r="H125">
        <v>583</v>
      </c>
      <c r="J125">
        <f t="shared" si="7"/>
        <v>2.8095698924731183</v>
      </c>
      <c r="L125">
        <f t="shared" si="8"/>
        <v>28.095698924731181</v>
      </c>
    </row>
    <row r="126" spans="7:12" x14ac:dyDescent="0.2">
      <c r="G126">
        <v>119</v>
      </c>
      <c r="H126">
        <v>557</v>
      </c>
      <c r="J126">
        <f t="shared" si="7"/>
        <v>2.6842717497556206</v>
      </c>
      <c r="L126">
        <f t="shared" si="8"/>
        <v>26.842717497556205</v>
      </c>
    </row>
    <row r="127" spans="7:12" x14ac:dyDescent="0.2">
      <c r="G127">
        <v>120</v>
      </c>
      <c r="H127">
        <v>695</v>
      </c>
      <c r="J127">
        <f t="shared" si="7"/>
        <v>3.3493157380254153</v>
      </c>
      <c r="L127">
        <f t="shared" si="8"/>
        <v>33.493157380254154</v>
      </c>
    </row>
    <row r="128" spans="7:12" x14ac:dyDescent="0.2">
      <c r="G128">
        <v>121</v>
      </c>
      <c r="H128">
        <v>496</v>
      </c>
      <c r="J128">
        <f t="shared" si="7"/>
        <v>2.3903030303030302</v>
      </c>
      <c r="L128">
        <f t="shared" si="8"/>
        <v>23.903030303030302</v>
      </c>
    </row>
    <row r="129" spans="6:12" x14ac:dyDescent="0.2">
      <c r="G129">
        <v>122</v>
      </c>
      <c r="H129">
        <v>637</v>
      </c>
      <c r="J129">
        <f t="shared" si="7"/>
        <v>3.0698044965786901</v>
      </c>
      <c r="L129">
        <f t="shared" si="8"/>
        <v>30.698044965786902</v>
      </c>
    </row>
    <row r="130" spans="6:12" x14ac:dyDescent="0.2">
      <c r="G130">
        <v>123</v>
      </c>
      <c r="H130">
        <v>571</v>
      </c>
      <c r="J130">
        <f t="shared" si="7"/>
        <v>2.7517399804496576</v>
      </c>
      <c r="L130">
        <f t="shared" si="8"/>
        <v>27.517399804496577</v>
      </c>
    </row>
    <row r="131" spans="6:12" x14ac:dyDescent="0.2">
      <c r="G131">
        <v>124</v>
      </c>
      <c r="H131">
        <v>641</v>
      </c>
      <c r="J131">
        <f t="shared" si="7"/>
        <v>3.0890811339198434</v>
      </c>
      <c r="L131">
        <f t="shared" si="8"/>
        <v>30.890811339198436</v>
      </c>
    </row>
    <row r="132" spans="6:12" x14ac:dyDescent="0.2">
      <c r="G132">
        <v>125</v>
      </c>
      <c r="H132">
        <v>482</v>
      </c>
      <c r="J132">
        <f t="shared" si="7"/>
        <v>2.3228347996089931</v>
      </c>
      <c r="L132">
        <f t="shared" si="8"/>
        <v>23.22834799608993</v>
      </c>
    </row>
    <row r="133" spans="6:12" x14ac:dyDescent="0.2">
      <c r="G133">
        <v>126</v>
      </c>
      <c r="H133">
        <v>513</v>
      </c>
      <c r="J133">
        <f t="shared" si="7"/>
        <v>2.4722287390029321</v>
      </c>
      <c r="L133">
        <f t="shared" si="8"/>
        <v>24.722287390029322</v>
      </c>
    </row>
    <row r="134" spans="6:12" x14ac:dyDescent="0.2">
      <c r="F134" t="str">
        <f>DEC2HEX(G134)</f>
        <v>7F</v>
      </c>
      <c r="G134">
        <v>127</v>
      </c>
      <c r="H134">
        <v>428</v>
      </c>
      <c r="J134">
        <f t="shared" si="7"/>
        <v>2.0626001955034212</v>
      </c>
      <c r="L134">
        <f t="shared" si="8"/>
        <v>20.626001955034212</v>
      </c>
    </row>
  </sheetData>
  <sortState xmlns:xlrd2="http://schemas.microsoft.com/office/spreadsheetml/2017/richdata2" ref="U8:U48">
    <sortCondition ref="U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Trantham</dc:creator>
  <cp:lastModifiedBy>Kenneth Trantham</cp:lastModifiedBy>
  <dcterms:created xsi:type="dcterms:W3CDTF">2026-07-15T00:54:05Z</dcterms:created>
  <dcterms:modified xsi:type="dcterms:W3CDTF">2026-08-03T00:50:04Z</dcterms:modified>
</cp:coreProperties>
</file>